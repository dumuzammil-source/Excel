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"/>
    </mc:Choice>
  </mc:AlternateContent>
  <xr:revisionPtr revIDLastSave="0" documentId="8_{C5EB9247-E104-46C3-B897-B2B4BD436920}" xr6:coauthVersionLast="47" xr6:coauthVersionMax="47" xr10:uidLastSave="{00000000-0000-0000-0000-000000000000}"/>
  <bookViews>
    <workbookView xWindow="-120" yWindow="-120" windowWidth="20730" windowHeight="11160" activeTab="7" xr2:uid="{AF0EEAEB-8389-47F6-A126-6B8E67C9D6BE}"/>
  </bookViews>
  <sheets>
    <sheet name="Q.No.1" sheetId="1" r:id="rId1"/>
    <sheet name="Q.No.2" sheetId="2" r:id="rId2"/>
    <sheet name="Q.No.3" sheetId="3" r:id="rId3"/>
    <sheet name="Q.No.4" sheetId="4" r:id="rId4"/>
    <sheet name="Q.No.5" sheetId="5" r:id="rId5"/>
    <sheet name="Q.No.6" sheetId="6" r:id="rId6"/>
    <sheet name="Q.No.7" sheetId="7" r:id="rId7"/>
    <sheet name="Q.No.8" sheetId="8" r:id="rId8"/>
  </sheets>
  <definedNames>
    <definedName name="_xlchart.v1.0" hidden="1">Q.No.2!$B$5:$B$104</definedName>
    <definedName name="_xlchart.v1.1" hidden="1">Q.No.2!$B$7:$B$106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8" l="1"/>
  <c r="H7" i="8"/>
  <c r="E8" i="8"/>
  <c r="E9" i="8"/>
  <c r="E10" i="8"/>
  <c r="E11" i="8"/>
  <c r="E12" i="8"/>
  <c r="E13" i="8"/>
  <c r="E14" i="8"/>
  <c r="E7" i="8"/>
  <c r="F11" i="7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7" i="6"/>
  <c r="E6" i="5"/>
  <c r="G10" i="4"/>
  <c r="G9" i="4"/>
  <c r="G8" i="4"/>
  <c r="G7" i="4"/>
  <c r="G6" i="4"/>
  <c r="D9" i="3"/>
  <c r="E9" i="1"/>
  <c r="F11" i="6" l="1"/>
  <c r="G11" i="6" s="1"/>
  <c r="F9" i="6"/>
  <c r="G9" i="6" s="1"/>
  <c r="F7" i="6"/>
  <c r="G7" i="6" s="1"/>
  <c r="F12" i="6"/>
  <c r="G12" i="6" s="1"/>
  <c r="F8" i="6"/>
  <c r="G8" i="6" s="1"/>
  <c r="F10" i="6"/>
  <c r="G10" i="6" s="1"/>
  <c r="E7" i="1"/>
</calcChain>
</file>

<file path=xl/sharedStrings.xml><?xml version="1.0" encoding="utf-8"?>
<sst xmlns="http://schemas.openxmlformats.org/spreadsheetml/2006/main" count="56" uniqueCount="46">
  <si>
    <t>Roll No</t>
  </si>
  <si>
    <t>Dice Roll</t>
  </si>
  <si>
    <t>Count of 3</t>
  </si>
  <si>
    <t>Probability of rolling 3 exactly 5 times</t>
  </si>
  <si>
    <t>Q.No.1 -imulate 30 rolls with =RANDBETWEEN(1,6). What is the probability of rolling a 3 exactly 5 times? (Hint: Use
BINOM.DIST)</t>
  </si>
  <si>
    <t>Q.No.2 - Generate 100 values in Excel using the continuous uniform distribution RAND() and plot a histogram.
Describe the shape of the distribution</t>
  </si>
  <si>
    <t>Random Values</t>
  </si>
  <si>
    <t>Cell</t>
  </si>
  <si>
    <t>Value</t>
  </si>
  <si>
    <t>Solution</t>
  </si>
  <si>
    <t>Mean</t>
  </si>
  <si>
    <t>Standard Deviation</t>
  </si>
  <si>
    <t>Lower Value</t>
  </si>
  <si>
    <t>Upper Value</t>
  </si>
  <si>
    <t>Probability between 45 and 55</t>
  </si>
  <si>
    <t>b4</t>
  </si>
  <si>
    <t>b1</t>
  </si>
  <si>
    <t>b2</t>
  </si>
  <si>
    <t>b3</t>
  </si>
  <si>
    <t>Q.No.3 - A dataset has a mean of 50 and a standard deviation of 5. What percentage of values lie between 45 and
55 if the data follows a normal distribution?</t>
  </si>
  <si>
    <t>Z-Score</t>
  </si>
  <si>
    <t>Q.No.4 - What is the concept of standardization (z-score), and why is it important in data analysis? Explain the formula and how standardization transforms a dataset.</t>
  </si>
  <si>
    <t>Q.No.5 - What is Kurtosis and their type?</t>
  </si>
  <si>
    <t>Data</t>
  </si>
  <si>
    <r>
      <t xml:space="preserve">The kurtosis value is </t>
    </r>
    <r>
      <rPr>
        <b/>
        <sz val="11"/>
        <color theme="1"/>
        <rFont val="Calibri"/>
        <family val="2"/>
        <scheme val="minor"/>
      </rPr>
      <t>–0.337</t>
    </r>
    <r>
      <rPr>
        <sz val="11"/>
        <color theme="1"/>
        <rFont val="Calibri"/>
        <family val="2"/>
        <scheme val="minor"/>
      </rPr>
      <t>.</t>
    </r>
  </si>
  <si>
    <r>
      <t xml:space="preserve">A negative kurtosis indicates a </t>
    </r>
    <r>
      <rPr>
        <b/>
        <sz val="11"/>
        <color theme="1"/>
        <rFont val="Calibri"/>
        <family val="2"/>
        <scheme val="minor"/>
      </rPr>
      <t>platykurtic distribution</t>
    </r>
    <r>
      <rPr>
        <sz val="11"/>
        <color theme="1"/>
        <rFont val="Calibri"/>
        <family val="2"/>
        <scheme val="minor"/>
      </rPr>
      <t>, meaning the data is flatter and more evenly spread than a normal distribution.</t>
    </r>
  </si>
  <si>
    <t>Q.No.6 - Explain why the uniform distribution is a good model for the outcome of rolling a fair die.</t>
  </si>
  <si>
    <t>Outcome</t>
  </si>
  <si>
    <t>Frequency</t>
  </si>
  <si>
    <t>Probability</t>
  </si>
  <si>
    <t>Q.No.7 - Use Excel to compute the probability of getting at least 8 successes in 15 trials with success probability 0.5</t>
  </si>
  <si>
    <t>Meaning</t>
  </si>
  <si>
    <t>B1</t>
  </si>
  <si>
    <t>B2</t>
  </si>
  <si>
    <t>B3</t>
  </si>
  <si>
    <t>At least successes</t>
  </si>
  <si>
    <t xml:space="preserve">Number of trials </t>
  </si>
  <si>
    <t xml:space="preserve">Probability of success </t>
  </si>
  <si>
    <t>Original Value</t>
  </si>
  <si>
    <t>Std Deviation</t>
  </si>
  <si>
    <t>Q.No.8 - How does log transformation help in stabilizing variance and making data more normally distributed?</t>
  </si>
  <si>
    <t>Original Data</t>
  </si>
  <si>
    <t>Log Transformed Data (LN)</t>
  </si>
  <si>
    <t>Variance Comparison</t>
  </si>
  <si>
    <t>Original Variance</t>
  </si>
  <si>
    <t>Log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</si>
</sst>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/>
    <xf numFmtId="0" fontId="0" fillId="3" borderId="9" xfId="0" applyFill="1" applyBorder="1" applyAlignment="1"/>
    <xf numFmtId="0" fontId="0" fillId="3" borderId="10" xfId="0" applyFill="1" applyBorder="1" applyAlignme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A0081E43-F81A-4CB9-A979-F05154C1302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5</xdr:row>
      <xdr:rowOff>166687</xdr:rowOff>
    </xdr:from>
    <xdr:to>
      <xdr:col>12</xdr:col>
      <xdr:colOff>285750</xdr:colOff>
      <xdr:row>20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225EBFD-B0AA-39D3-9348-1B4A6AC0E5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9950" y="766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6524-98BA-4008-A49E-462F2C18AFEF}">
  <dimension ref="A1:N35"/>
  <sheetViews>
    <sheetView topLeftCell="A4" workbookViewId="0">
      <selection activeCell="G8" sqref="G8"/>
    </sheetView>
  </sheetViews>
  <sheetFormatPr defaultRowHeight="15" x14ac:dyDescent="0.25"/>
  <cols>
    <col min="1" max="1" width="35" bestFit="1" customWidth="1"/>
    <col min="4" max="4" width="35" bestFit="1" customWidth="1"/>
  </cols>
  <sheetData>
    <row r="1" spans="1:14" ht="15.75" thickBot="1" x14ac:dyDescent="0.3">
      <c r="B1" s="1" t="s">
        <v>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75" thickBot="1" x14ac:dyDescent="0.3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19.5" thickBot="1" x14ac:dyDescent="0.35">
      <c r="A3" s="16" t="s">
        <v>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spans="1:14" x14ac:dyDescent="0.25">
      <c r="A5" t="s">
        <v>0</v>
      </c>
      <c r="B5" t="s">
        <v>1</v>
      </c>
    </row>
    <row r="6" spans="1:14" x14ac:dyDescent="0.25">
      <c r="A6">
        <v>1</v>
      </c>
      <c r="B6">
        <v>4</v>
      </c>
    </row>
    <row r="7" spans="1:14" x14ac:dyDescent="0.25">
      <c r="A7">
        <v>2</v>
      </c>
      <c r="B7">
        <v>5</v>
      </c>
      <c r="D7" t="s">
        <v>2</v>
      </c>
      <c r="E7">
        <f>COUNTIF(B6:B35,3)</f>
        <v>3</v>
      </c>
    </row>
    <row r="8" spans="1:14" x14ac:dyDescent="0.25">
      <c r="A8">
        <v>3</v>
      </c>
      <c r="B8">
        <v>6</v>
      </c>
    </row>
    <row r="9" spans="1:14" x14ac:dyDescent="0.25">
      <c r="A9">
        <v>4</v>
      </c>
      <c r="B9">
        <v>3</v>
      </c>
      <c r="D9" t="s">
        <v>3</v>
      </c>
      <c r="E9">
        <f>_xlfn.BINOM.DIST(5,30,1/6,FALSE)</f>
        <v>0.19210813105163416</v>
      </c>
    </row>
    <row r="10" spans="1:14" x14ac:dyDescent="0.25">
      <c r="A10">
        <v>5</v>
      </c>
      <c r="B10">
        <v>6</v>
      </c>
    </row>
    <row r="11" spans="1:14" x14ac:dyDescent="0.25">
      <c r="A11">
        <v>6</v>
      </c>
      <c r="B11">
        <v>1</v>
      </c>
    </row>
    <row r="12" spans="1:14" x14ac:dyDescent="0.25">
      <c r="A12">
        <v>7</v>
      </c>
      <c r="B12">
        <v>2</v>
      </c>
    </row>
    <row r="13" spans="1:14" x14ac:dyDescent="0.25">
      <c r="A13">
        <v>8</v>
      </c>
      <c r="B13">
        <v>2</v>
      </c>
    </row>
    <row r="14" spans="1:14" x14ac:dyDescent="0.25">
      <c r="A14">
        <v>9</v>
      </c>
      <c r="B14">
        <v>4</v>
      </c>
    </row>
    <row r="15" spans="1:14" x14ac:dyDescent="0.25">
      <c r="A15">
        <v>10</v>
      </c>
      <c r="B15">
        <v>6</v>
      </c>
    </row>
    <row r="16" spans="1:14" x14ac:dyDescent="0.25">
      <c r="A16">
        <v>11</v>
      </c>
      <c r="B16">
        <v>5</v>
      </c>
    </row>
    <row r="17" spans="1:2" x14ac:dyDescent="0.25">
      <c r="A17">
        <v>12</v>
      </c>
      <c r="B17">
        <v>3</v>
      </c>
    </row>
    <row r="18" spans="1:2" x14ac:dyDescent="0.25">
      <c r="A18">
        <v>13</v>
      </c>
      <c r="B18">
        <v>2</v>
      </c>
    </row>
    <row r="19" spans="1:2" x14ac:dyDescent="0.25">
      <c r="A19">
        <v>14</v>
      </c>
      <c r="B19">
        <v>1</v>
      </c>
    </row>
    <row r="20" spans="1:2" x14ac:dyDescent="0.25">
      <c r="A20">
        <v>15</v>
      </c>
      <c r="B20">
        <v>1</v>
      </c>
    </row>
    <row r="21" spans="1:2" x14ac:dyDescent="0.25">
      <c r="A21">
        <v>16</v>
      </c>
      <c r="B21">
        <v>2</v>
      </c>
    </row>
    <row r="22" spans="1:2" x14ac:dyDescent="0.25">
      <c r="A22">
        <v>17</v>
      </c>
      <c r="B22">
        <v>2</v>
      </c>
    </row>
    <row r="23" spans="1:2" x14ac:dyDescent="0.25">
      <c r="A23">
        <v>18</v>
      </c>
      <c r="B23">
        <v>2</v>
      </c>
    </row>
    <row r="24" spans="1:2" x14ac:dyDescent="0.25">
      <c r="A24">
        <v>19</v>
      </c>
      <c r="B24">
        <v>3</v>
      </c>
    </row>
    <row r="25" spans="1:2" x14ac:dyDescent="0.25">
      <c r="A25">
        <v>20</v>
      </c>
      <c r="B25">
        <v>2</v>
      </c>
    </row>
    <row r="26" spans="1:2" x14ac:dyDescent="0.25">
      <c r="A26">
        <v>21</v>
      </c>
      <c r="B26">
        <v>2</v>
      </c>
    </row>
    <row r="27" spans="1:2" x14ac:dyDescent="0.25">
      <c r="A27">
        <v>22</v>
      </c>
      <c r="B27">
        <v>2</v>
      </c>
    </row>
    <row r="28" spans="1:2" x14ac:dyDescent="0.25">
      <c r="A28">
        <v>23</v>
      </c>
      <c r="B28">
        <v>1</v>
      </c>
    </row>
    <row r="29" spans="1:2" x14ac:dyDescent="0.25">
      <c r="A29">
        <v>24</v>
      </c>
      <c r="B29">
        <v>6</v>
      </c>
    </row>
    <row r="30" spans="1:2" x14ac:dyDescent="0.25">
      <c r="A30">
        <v>25</v>
      </c>
      <c r="B30">
        <v>2</v>
      </c>
    </row>
    <row r="31" spans="1:2" x14ac:dyDescent="0.25">
      <c r="A31">
        <v>26</v>
      </c>
      <c r="B31">
        <v>6</v>
      </c>
    </row>
    <row r="32" spans="1:2" x14ac:dyDescent="0.25">
      <c r="A32">
        <v>27</v>
      </c>
      <c r="B32">
        <v>6</v>
      </c>
    </row>
    <row r="33" spans="1:2" x14ac:dyDescent="0.25">
      <c r="A33">
        <v>28</v>
      </c>
      <c r="B33">
        <v>5</v>
      </c>
    </row>
    <row r="34" spans="1:2" x14ac:dyDescent="0.25">
      <c r="A34">
        <v>29</v>
      </c>
      <c r="B34">
        <v>5</v>
      </c>
    </row>
    <row r="35" spans="1:2" x14ac:dyDescent="0.25">
      <c r="A35">
        <v>30</v>
      </c>
      <c r="B35">
        <v>5</v>
      </c>
    </row>
  </sheetData>
  <mergeCells count="1">
    <mergeCell ref="B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B6D5-048F-4989-86BD-F3EC82574FF9}">
  <dimension ref="B1:R106"/>
  <sheetViews>
    <sheetView workbookViewId="0">
      <selection activeCell="B4" sqref="B4"/>
    </sheetView>
  </sheetViews>
  <sheetFormatPr defaultRowHeight="15" x14ac:dyDescent="0.25"/>
  <cols>
    <col min="2" max="2" width="14.85546875" bestFit="1" customWidth="1"/>
  </cols>
  <sheetData>
    <row r="1" spans="2:18" ht="15.75" thickBot="1" x14ac:dyDescent="0.3"/>
    <row r="2" spans="2:18" ht="16.5" thickBot="1" x14ac:dyDescent="0.3">
      <c r="C2" s="7" t="s"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 spans="2:18" ht="16.5" thickBot="1" x14ac:dyDescent="0.3"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2:18" ht="19.5" thickBot="1" x14ac:dyDescent="0.3">
      <c r="B4" s="14" t="s">
        <v>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6" spans="2:18" x14ac:dyDescent="0.25">
      <c r="B6" t="s">
        <v>6</v>
      </c>
      <c r="C6" s="11"/>
      <c r="D6" s="11"/>
    </row>
    <row r="7" spans="2:18" x14ac:dyDescent="0.25">
      <c r="B7" s="10">
        <v>0.13420685226253692</v>
      </c>
      <c r="C7" s="12"/>
      <c r="D7" s="12"/>
    </row>
    <row r="8" spans="2:18" x14ac:dyDescent="0.25">
      <c r="B8" s="10">
        <v>0.23180481701244893</v>
      </c>
      <c r="C8" s="12"/>
      <c r="D8" s="12"/>
    </row>
    <row r="9" spans="2:18" x14ac:dyDescent="0.25">
      <c r="B9" s="10">
        <v>0.50686382432444721</v>
      </c>
      <c r="C9" s="12"/>
      <c r="D9" s="12"/>
    </row>
    <row r="10" spans="2:18" x14ac:dyDescent="0.25">
      <c r="B10" s="10">
        <v>0.46173162126397171</v>
      </c>
      <c r="C10" s="12"/>
      <c r="D10" s="12"/>
    </row>
    <row r="11" spans="2:18" x14ac:dyDescent="0.25">
      <c r="B11" s="10">
        <v>0.17341438103394857</v>
      </c>
      <c r="C11" s="12"/>
      <c r="D11" s="12"/>
    </row>
    <row r="12" spans="2:18" x14ac:dyDescent="0.25">
      <c r="B12" s="10">
        <v>0.63864276737295755</v>
      </c>
      <c r="C12" s="12"/>
      <c r="D12" s="12"/>
    </row>
    <row r="13" spans="2:18" x14ac:dyDescent="0.25">
      <c r="B13" s="10">
        <v>0.60444664245724256</v>
      </c>
      <c r="C13" s="12"/>
      <c r="D13" s="12"/>
    </row>
    <row r="14" spans="2:18" x14ac:dyDescent="0.25">
      <c r="B14" s="10">
        <v>0.44452386532843213</v>
      </c>
      <c r="C14" s="12"/>
      <c r="D14" s="12"/>
    </row>
    <row r="15" spans="2:18" x14ac:dyDescent="0.25">
      <c r="B15" s="10">
        <v>0.10789355084275254</v>
      </c>
      <c r="C15" s="12"/>
      <c r="D15" s="12"/>
    </row>
    <row r="16" spans="2:18" x14ac:dyDescent="0.25">
      <c r="B16" s="10">
        <v>0.72100881638584347</v>
      </c>
      <c r="C16" s="12"/>
      <c r="D16" s="12"/>
    </row>
    <row r="17" spans="2:4" x14ac:dyDescent="0.25">
      <c r="B17" s="10">
        <v>0.25136626119527983</v>
      </c>
      <c r="C17" s="12"/>
      <c r="D17" s="12"/>
    </row>
    <row r="18" spans="2:4" x14ac:dyDescent="0.25">
      <c r="B18" s="10">
        <v>0.47167016862522138</v>
      </c>
    </row>
    <row r="19" spans="2:4" x14ac:dyDescent="0.25">
      <c r="B19" s="10">
        <v>0.57211164212396082</v>
      </c>
    </row>
    <row r="20" spans="2:4" x14ac:dyDescent="0.25">
      <c r="B20" s="10">
        <v>0.20117296845716359</v>
      </c>
    </row>
    <row r="21" spans="2:4" x14ac:dyDescent="0.25">
      <c r="B21" s="10">
        <v>0.98221250027119222</v>
      </c>
    </row>
    <row r="22" spans="2:4" x14ac:dyDescent="0.25">
      <c r="B22" s="10">
        <v>0.13044564284976801</v>
      </c>
    </row>
    <row r="23" spans="2:4" x14ac:dyDescent="0.25">
      <c r="B23" s="10">
        <v>0.82178109421072343</v>
      </c>
    </row>
    <row r="24" spans="2:4" x14ac:dyDescent="0.25">
      <c r="B24" s="10">
        <v>0.57800664398574031</v>
      </c>
    </row>
    <row r="25" spans="2:4" x14ac:dyDescent="0.25">
      <c r="B25" s="10">
        <v>0.5416150022879338</v>
      </c>
    </row>
    <row r="26" spans="2:4" x14ac:dyDescent="0.25">
      <c r="B26" s="10">
        <v>0.4513752030942173</v>
      </c>
    </row>
    <row r="27" spans="2:4" x14ac:dyDescent="0.25">
      <c r="B27" s="10">
        <v>0.1134874213268261</v>
      </c>
    </row>
    <row r="28" spans="2:4" x14ac:dyDescent="0.25">
      <c r="B28" s="10">
        <v>0.78832309045469973</v>
      </c>
    </row>
    <row r="29" spans="2:4" x14ac:dyDescent="0.25">
      <c r="B29" s="10">
        <v>0.3119620769811714</v>
      </c>
    </row>
    <row r="30" spans="2:4" x14ac:dyDescent="0.25">
      <c r="B30" s="10">
        <v>0.40176444068931094</v>
      </c>
    </row>
    <row r="31" spans="2:4" x14ac:dyDescent="0.25">
      <c r="B31" s="10">
        <v>0.60897544652844882</v>
      </c>
    </row>
    <row r="32" spans="2:4" x14ac:dyDescent="0.25">
      <c r="B32" s="10">
        <v>0.7746984335786915</v>
      </c>
    </row>
    <row r="33" spans="2:2" x14ac:dyDescent="0.25">
      <c r="B33" s="10">
        <v>0.52824505215055295</v>
      </c>
    </row>
    <row r="34" spans="2:2" x14ac:dyDescent="0.25">
      <c r="B34" s="10">
        <v>0.71306994297684156</v>
      </c>
    </row>
    <row r="35" spans="2:2" x14ac:dyDescent="0.25">
      <c r="B35" s="10">
        <v>0.72709430015693688</v>
      </c>
    </row>
    <row r="36" spans="2:2" x14ac:dyDescent="0.25">
      <c r="B36" s="10">
        <v>0.47938583016526526</v>
      </c>
    </row>
    <row r="37" spans="2:2" x14ac:dyDescent="0.25">
      <c r="B37" s="10">
        <v>0.57864704496617958</v>
      </c>
    </row>
    <row r="38" spans="2:2" x14ac:dyDescent="0.25">
      <c r="B38" s="10">
        <v>0.97261070804115501</v>
      </c>
    </row>
    <row r="39" spans="2:2" x14ac:dyDescent="0.25">
      <c r="B39" s="10">
        <v>0.8026262119596913</v>
      </c>
    </row>
    <row r="40" spans="2:2" x14ac:dyDescent="0.25">
      <c r="B40" s="10">
        <v>0.61210727819077904</v>
      </c>
    </row>
    <row r="41" spans="2:2" x14ac:dyDescent="0.25">
      <c r="B41" s="10">
        <v>0.5532307424943711</v>
      </c>
    </row>
    <row r="42" spans="2:2" x14ac:dyDescent="0.25">
      <c r="B42" s="10">
        <v>0.98050767775120662</v>
      </c>
    </row>
    <row r="43" spans="2:2" x14ac:dyDescent="0.25">
      <c r="B43" s="10">
        <v>0.90218231324902509</v>
      </c>
    </row>
    <row r="44" spans="2:2" x14ac:dyDescent="0.25">
      <c r="B44" s="10">
        <v>0.43908383870214174</v>
      </c>
    </row>
    <row r="45" spans="2:2" x14ac:dyDescent="0.25">
      <c r="B45" s="10">
        <v>0.98302748929537875</v>
      </c>
    </row>
    <row r="46" spans="2:2" x14ac:dyDescent="0.25">
      <c r="B46" s="10">
        <v>0.45973414432342796</v>
      </c>
    </row>
    <row r="47" spans="2:2" x14ac:dyDescent="0.25">
      <c r="B47" s="10">
        <v>0.11514791609957398</v>
      </c>
    </row>
    <row r="48" spans="2:2" x14ac:dyDescent="0.25">
      <c r="B48" s="10">
        <v>0.33778379186477425</v>
      </c>
    </row>
    <row r="49" spans="2:2" x14ac:dyDescent="0.25">
      <c r="B49" s="10">
        <v>0.79564914003860465</v>
      </c>
    </row>
    <row r="50" spans="2:2" x14ac:dyDescent="0.25">
      <c r="B50" s="10">
        <v>0.12853549659639663</v>
      </c>
    </row>
    <row r="51" spans="2:2" x14ac:dyDescent="0.25">
      <c r="B51" s="10">
        <v>0.96904247791149911</v>
      </c>
    </row>
    <row r="52" spans="2:2" x14ac:dyDescent="0.25">
      <c r="B52" s="10">
        <v>0.74643875437049301</v>
      </c>
    </row>
    <row r="53" spans="2:2" x14ac:dyDescent="0.25">
      <c r="B53" s="10">
        <v>0.32295322779594926</v>
      </c>
    </row>
    <row r="54" spans="2:2" x14ac:dyDescent="0.25">
      <c r="B54" s="10">
        <v>0.78043329462051858</v>
      </c>
    </row>
    <row r="55" spans="2:2" x14ac:dyDescent="0.25">
      <c r="B55" s="10">
        <v>8.4525031558913E-2</v>
      </c>
    </row>
    <row r="56" spans="2:2" x14ac:dyDescent="0.25">
      <c r="B56" s="10">
        <v>0.1906236303289266</v>
      </c>
    </row>
    <row r="57" spans="2:2" x14ac:dyDescent="0.25">
      <c r="B57" s="10">
        <v>0.27691884203885653</v>
      </c>
    </row>
    <row r="58" spans="2:2" x14ac:dyDescent="0.25">
      <c r="B58" s="10">
        <v>0.72789033488647537</v>
      </c>
    </row>
    <row r="59" spans="2:2" x14ac:dyDescent="0.25">
      <c r="B59" s="10">
        <v>0.649584418798969</v>
      </c>
    </row>
    <row r="60" spans="2:2" x14ac:dyDescent="0.25">
      <c r="B60" s="10">
        <v>0.47743415363837738</v>
      </c>
    </row>
    <row r="61" spans="2:2" x14ac:dyDescent="0.25">
      <c r="B61" s="10">
        <v>0.24601762085361178</v>
      </c>
    </row>
    <row r="62" spans="2:2" x14ac:dyDescent="0.25">
      <c r="B62" s="10">
        <v>0.15954136749539749</v>
      </c>
    </row>
    <row r="63" spans="2:2" x14ac:dyDescent="0.25">
      <c r="B63" s="10">
        <v>0.33275897585699343</v>
      </c>
    </row>
    <row r="64" spans="2:2" x14ac:dyDescent="0.25">
      <c r="B64" s="10">
        <v>3.9100211279507024E-2</v>
      </c>
    </row>
    <row r="65" spans="2:2" x14ac:dyDescent="0.25">
      <c r="B65" s="10">
        <v>0.42770322404693284</v>
      </c>
    </row>
    <row r="66" spans="2:2" x14ac:dyDescent="0.25">
      <c r="B66" s="10">
        <v>0.56401932065752591</v>
      </c>
    </row>
    <row r="67" spans="2:2" x14ac:dyDescent="0.25">
      <c r="B67" s="10">
        <v>0.94864076942170894</v>
      </c>
    </row>
    <row r="68" spans="2:2" x14ac:dyDescent="0.25">
      <c r="B68" s="10">
        <v>0.29865302572461394</v>
      </c>
    </row>
    <row r="69" spans="2:2" x14ac:dyDescent="0.25">
      <c r="B69" s="10">
        <v>0.74410849246342892</v>
      </c>
    </row>
    <row r="70" spans="2:2" x14ac:dyDescent="0.25">
      <c r="B70" s="10">
        <v>0.67924183211396294</v>
      </c>
    </row>
    <row r="71" spans="2:2" x14ac:dyDescent="0.25">
      <c r="B71" s="10">
        <v>0.32988004578408725</v>
      </c>
    </row>
    <row r="72" spans="2:2" x14ac:dyDescent="0.25">
      <c r="B72" s="10">
        <v>0.32506877012896584</v>
      </c>
    </row>
    <row r="73" spans="2:2" x14ac:dyDescent="0.25">
      <c r="B73" s="10">
        <v>0.92747933024378726</v>
      </c>
    </row>
    <row r="74" spans="2:2" x14ac:dyDescent="0.25">
      <c r="B74" s="10">
        <v>0.91829476758168316</v>
      </c>
    </row>
    <row r="75" spans="2:2" x14ac:dyDescent="0.25">
      <c r="B75" s="10">
        <v>0.96401167025485135</v>
      </c>
    </row>
    <row r="76" spans="2:2" x14ac:dyDescent="0.25">
      <c r="B76" s="10">
        <v>0.37300374818959814</v>
      </c>
    </row>
    <row r="77" spans="2:2" x14ac:dyDescent="0.25">
      <c r="B77" s="10">
        <v>0.43337125348682159</v>
      </c>
    </row>
    <row r="78" spans="2:2" x14ac:dyDescent="0.25">
      <c r="B78" s="10">
        <v>0.49051770792894345</v>
      </c>
    </row>
    <row r="79" spans="2:2" x14ac:dyDescent="0.25">
      <c r="B79" s="10">
        <v>0.50399928809447303</v>
      </c>
    </row>
    <row r="80" spans="2:2" x14ac:dyDescent="0.25">
      <c r="B80" s="10">
        <v>6.6649878910809979E-2</v>
      </c>
    </row>
    <row r="81" spans="2:2" x14ac:dyDescent="0.25">
      <c r="B81" s="10">
        <v>0.11516388771877073</v>
      </c>
    </row>
    <row r="82" spans="2:2" x14ac:dyDescent="0.25">
      <c r="B82" s="10">
        <v>0.49593954045673927</v>
      </c>
    </row>
    <row r="83" spans="2:2" x14ac:dyDescent="0.25">
      <c r="B83" s="10">
        <v>0.11390385294493233</v>
      </c>
    </row>
    <row r="84" spans="2:2" x14ac:dyDescent="0.25">
      <c r="B84" s="10">
        <v>0.16562564714875894</v>
      </c>
    </row>
    <row r="85" spans="2:2" x14ac:dyDescent="0.25">
      <c r="B85" s="10">
        <v>0.7103845663984053</v>
      </c>
    </row>
    <row r="86" spans="2:2" x14ac:dyDescent="0.25">
      <c r="B86" s="10">
        <v>0.46126693769751914</v>
      </c>
    </row>
    <row r="87" spans="2:2" x14ac:dyDescent="0.25">
      <c r="B87" s="10">
        <v>0.92808573884349632</v>
      </c>
    </row>
    <row r="88" spans="2:2" x14ac:dyDescent="0.25">
      <c r="B88" s="10">
        <v>0.82799017886944304</v>
      </c>
    </row>
    <row r="89" spans="2:2" x14ac:dyDescent="0.25">
      <c r="B89" s="10">
        <v>0.59723392898848338</v>
      </c>
    </row>
    <row r="90" spans="2:2" x14ac:dyDescent="0.25">
      <c r="B90" s="10">
        <v>0.10719239234883204</v>
      </c>
    </row>
    <row r="91" spans="2:2" x14ac:dyDescent="0.25">
      <c r="B91" s="10">
        <v>0.97425068904038814</v>
      </c>
    </row>
    <row r="92" spans="2:2" x14ac:dyDescent="0.25">
      <c r="B92" s="10">
        <v>0.64791965917898398</v>
      </c>
    </row>
    <row r="93" spans="2:2" x14ac:dyDescent="0.25">
      <c r="B93" s="10">
        <v>0.43229138929358124</v>
      </c>
    </row>
    <row r="94" spans="2:2" x14ac:dyDescent="0.25">
      <c r="B94" s="10">
        <v>0.92908671548234223</v>
      </c>
    </row>
    <row r="95" spans="2:2" x14ac:dyDescent="0.25">
      <c r="B95" s="10">
        <v>0.50141504570966966</v>
      </c>
    </row>
    <row r="96" spans="2:2" x14ac:dyDescent="0.25">
      <c r="B96" s="10">
        <v>0.3029709200899664</v>
      </c>
    </row>
    <row r="97" spans="2:2" x14ac:dyDescent="0.25">
      <c r="B97" s="10">
        <v>0.59521028067713799</v>
      </c>
    </row>
    <row r="98" spans="2:2" x14ac:dyDescent="0.25">
      <c r="B98" s="10">
        <v>0.52920815279556943</v>
      </c>
    </row>
    <row r="99" spans="2:2" x14ac:dyDescent="0.25">
      <c r="B99" s="10">
        <v>0.70318339205206626</v>
      </c>
    </row>
    <row r="100" spans="2:2" x14ac:dyDescent="0.25">
      <c r="B100" s="10">
        <v>0.32842097608109677</v>
      </c>
    </row>
    <row r="101" spans="2:2" x14ac:dyDescent="0.25">
      <c r="B101" s="10">
        <v>5.0931516159646861E-3</v>
      </c>
    </row>
    <row r="102" spans="2:2" x14ac:dyDescent="0.25">
      <c r="B102" s="10">
        <v>0.52473390451272139</v>
      </c>
    </row>
    <row r="103" spans="2:2" x14ac:dyDescent="0.25">
      <c r="B103" s="10">
        <v>0.1862660385112328</v>
      </c>
    </row>
    <row r="104" spans="2:2" x14ac:dyDescent="0.25">
      <c r="B104" s="10">
        <v>0.40272151864287642</v>
      </c>
    </row>
    <row r="105" spans="2:2" x14ac:dyDescent="0.25">
      <c r="B105" s="10">
        <v>0.25792729380683699</v>
      </c>
    </row>
    <row r="106" spans="2:2" x14ac:dyDescent="0.25">
      <c r="B106" s="10">
        <v>1.9100929368877084E-3</v>
      </c>
    </row>
  </sheetData>
  <mergeCells count="1">
    <mergeCell ref="C2:R2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60E0-A44D-477A-B778-B1C5B6EDF70C}">
  <dimension ref="B1:Q9"/>
  <sheetViews>
    <sheetView workbookViewId="0">
      <selection activeCell="B4" sqref="B4"/>
    </sheetView>
  </sheetViews>
  <sheetFormatPr defaultRowHeight="15" x14ac:dyDescent="0.25"/>
  <cols>
    <col min="2" max="2" width="9.28515625" bestFit="1" customWidth="1"/>
    <col min="3" max="3" width="28.28515625" bestFit="1" customWidth="1"/>
  </cols>
  <sheetData>
    <row r="1" spans="2:17" ht="15.75" thickBot="1" x14ac:dyDescent="0.3"/>
    <row r="2" spans="2:17" ht="16.5" thickBot="1" x14ac:dyDescent="0.3">
      <c r="C2" s="4" t="s">
        <v>19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2:17" ht="15.75" thickBot="1" x14ac:dyDescent="0.3"/>
    <row r="4" spans="2:17" ht="16.5" thickBot="1" x14ac:dyDescent="0.3">
      <c r="B4" s="17" t="s">
        <v>9</v>
      </c>
    </row>
    <row r="5" spans="2:17" x14ac:dyDescent="0.25">
      <c r="C5" t="s">
        <v>10</v>
      </c>
      <c r="D5">
        <v>50</v>
      </c>
      <c r="E5" t="s">
        <v>16</v>
      </c>
    </row>
    <row r="6" spans="2:17" x14ac:dyDescent="0.25">
      <c r="C6" t="s">
        <v>11</v>
      </c>
      <c r="D6">
        <v>5</v>
      </c>
      <c r="E6" t="s">
        <v>17</v>
      </c>
    </row>
    <row r="7" spans="2:17" x14ac:dyDescent="0.25">
      <c r="C7" t="s">
        <v>12</v>
      </c>
      <c r="D7">
        <v>45</v>
      </c>
      <c r="E7" t="s">
        <v>18</v>
      </c>
    </row>
    <row r="8" spans="2:17" x14ac:dyDescent="0.25">
      <c r="C8" t="s">
        <v>13</v>
      </c>
      <c r="D8">
        <v>55</v>
      </c>
      <c r="E8" t="s">
        <v>15</v>
      </c>
    </row>
    <row r="9" spans="2:17" x14ac:dyDescent="0.25">
      <c r="C9" t="s">
        <v>14</v>
      </c>
      <c r="D9">
        <f>_xlfn.NORM.DIST(D8,D5,D6,TRUE)-_xlfn.NORM.DIST(D7,D5,D6,TRUE)</f>
        <v>0.68268949213708607</v>
      </c>
    </row>
  </sheetData>
  <mergeCells count="1">
    <mergeCell ref="C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5D6A-D9C7-4629-B532-F4FBA197DB8E}">
  <dimension ref="B1:Q10"/>
  <sheetViews>
    <sheetView workbookViewId="0">
      <selection activeCell="I7" sqref="I7"/>
    </sheetView>
  </sheetViews>
  <sheetFormatPr defaultRowHeight="15" x14ac:dyDescent="0.25"/>
  <cols>
    <col min="4" max="4" width="16.5703125" bestFit="1" customWidth="1"/>
    <col min="5" max="5" width="9" bestFit="1" customWidth="1"/>
    <col min="6" max="6" width="16" bestFit="1" customWidth="1"/>
    <col min="7" max="7" width="7.5703125" bestFit="1" customWidth="1"/>
  </cols>
  <sheetData>
    <row r="1" spans="2:17" ht="15.75" thickBot="1" x14ac:dyDescent="0.3"/>
    <row r="2" spans="2:17" ht="16.5" thickBot="1" x14ac:dyDescent="0.3">
      <c r="B2" s="4" t="s">
        <v>21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2:17" ht="15.75" thickBot="1" x14ac:dyDescent="0.3"/>
    <row r="4" spans="2:17" ht="16.5" thickBot="1" x14ac:dyDescent="0.3">
      <c r="B4" s="17" t="s">
        <v>9</v>
      </c>
    </row>
    <row r="5" spans="2:17" x14ac:dyDescent="0.25">
      <c r="D5" t="s">
        <v>38</v>
      </c>
      <c r="E5" t="s">
        <v>10</v>
      </c>
      <c r="F5" t="s">
        <v>39</v>
      </c>
      <c r="G5" t="s">
        <v>20</v>
      </c>
    </row>
    <row r="6" spans="2:17" x14ac:dyDescent="0.25">
      <c r="D6">
        <v>45</v>
      </c>
      <c r="E6">
        <v>50</v>
      </c>
      <c r="F6">
        <v>5</v>
      </c>
      <c r="G6">
        <f>(D6-E6)/F6</f>
        <v>-1</v>
      </c>
    </row>
    <row r="7" spans="2:17" x14ac:dyDescent="0.25">
      <c r="D7">
        <v>50</v>
      </c>
      <c r="E7">
        <v>50</v>
      </c>
      <c r="F7">
        <v>5</v>
      </c>
      <c r="G7">
        <f>(D7-E7)/F7</f>
        <v>0</v>
      </c>
    </row>
    <row r="8" spans="2:17" x14ac:dyDescent="0.25">
      <c r="D8">
        <v>55</v>
      </c>
      <c r="E8">
        <v>50</v>
      </c>
      <c r="F8">
        <v>5</v>
      </c>
      <c r="G8">
        <f>(D8-E8)/F8</f>
        <v>1</v>
      </c>
    </row>
    <row r="9" spans="2:17" x14ac:dyDescent="0.25">
      <c r="D9">
        <v>60</v>
      </c>
      <c r="E9">
        <v>50</v>
      </c>
      <c r="F9">
        <v>5</v>
      </c>
      <c r="G9">
        <f>(D9-E9)/F9</f>
        <v>2</v>
      </c>
    </row>
    <row r="10" spans="2:17" x14ac:dyDescent="0.25">
      <c r="D10">
        <v>40</v>
      </c>
      <c r="E10">
        <v>50</v>
      </c>
      <c r="F10">
        <v>5</v>
      </c>
      <c r="G10">
        <f>(D10-E10)/F10</f>
        <v>-2</v>
      </c>
    </row>
  </sheetData>
  <mergeCells count="1">
    <mergeCell ref="B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5616-AD74-4387-8838-66678F30D57C}">
  <dimension ref="B1:S15"/>
  <sheetViews>
    <sheetView workbookViewId="0">
      <selection activeCell="B4" sqref="B4"/>
    </sheetView>
  </sheetViews>
  <sheetFormatPr defaultRowHeight="15" x14ac:dyDescent="0.25"/>
  <sheetData>
    <row r="1" spans="2:19" ht="15.75" thickBot="1" x14ac:dyDescent="0.3"/>
    <row r="2" spans="2:19" ht="16.5" thickBot="1" x14ac:dyDescent="0.3">
      <c r="B2" s="7" t="s">
        <v>22</v>
      </c>
      <c r="C2" s="8"/>
      <c r="D2" s="8"/>
      <c r="E2" s="8"/>
      <c r="F2" s="9"/>
    </row>
    <row r="3" spans="2:19" ht="15.75" thickBot="1" x14ac:dyDescent="0.3"/>
    <row r="4" spans="2:19" ht="16.5" thickBot="1" x14ac:dyDescent="0.3">
      <c r="B4" s="17" t="s">
        <v>9</v>
      </c>
    </row>
    <row r="5" spans="2:19" x14ac:dyDescent="0.25">
      <c r="D5" s="12" t="s">
        <v>23</v>
      </c>
    </row>
    <row r="6" spans="2:19" x14ac:dyDescent="0.25">
      <c r="D6" s="12">
        <v>45</v>
      </c>
      <c r="E6">
        <f>KURT(D6:D15)</f>
        <v>-0.33700146768505235</v>
      </c>
    </row>
    <row r="7" spans="2:19" ht="15.75" thickBot="1" x14ac:dyDescent="0.3">
      <c r="D7" s="12">
        <v>50</v>
      </c>
    </row>
    <row r="8" spans="2:19" x14ac:dyDescent="0.25">
      <c r="D8" s="12">
        <v>55</v>
      </c>
      <c r="G8" s="18" t="s">
        <v>24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20"/>
    </row>
    <row r="9" spans="2:19" ht="15.75" thickBot="1" x14ac:dyDescent="0.3">
      <c r="D9" s="12">
        <v>60</v>
      </c>
      <c r="G9" s="21" t="s">
        <v>25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3"/>
    </row>
    <row r="10" spans="2:19" x14ac:dyDescent="0.25">
      <c r="D10" s="12">
        <v>40</v>
      </c>
    </row>
    <row r="11" spans="2:19" x14ac:dyDescent="0.25">
      <c r="D11" s="12">
        <v>52</v>
      </c>
    </row>
    <row r="12" spans="2:19" x14ac:dyDescent="0.25">
      <c r="D12" s="12">
        <v>48</v>
      </c>
    </row>
    <row r="13" spans="2:19" x14ac:dyDescent="0.25">
      <c r="D13" s="12">
        <v>58</v>
      </c>
    </row>
    <row r="14" spans="2:19" x14ac:dyDescent="0.25">
      <c r="D14" s="12">
        <v>47</v>
      </c>
    </row>
    <row r="15" spans="2:19" x14ac:dyDescent="0.25">
      <c r="D15" s="12">
        <v>53</v>
      </c>
    </row>
  </sheetData>
  <mergeCells count="3">
    <mergeCell ref="B2:F2"/>
    <mergeCell ref="G8:S8"/>
    <mergeCell ref="G9:S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C19E-01A7-4990-BE2D-DE8919B5DD38}">
  <dimension ref="B1:L107"/>
  <sheetViews>
    <sheetView workbookViewId="0">
      <selection activeCell="B4" sqref="B4"/>
    </sheetView>
  </sheetViews>
  <sheetFormatPr defaultRowHeight="15" x14ac:dyDescent="0.25"/>
  <cols>
    <col min="6" max="6" width="10.28515625" bestFit="1" customWidth="1"/>
    <col min="7" max="7" width="10.7109375" bestFit="1" customWidth="1"/>
  </cols>
  <sheetData>
    <row r="1" spans="2:12" ht="15.75" thickBot="1" x14ac:dyDescent="0.3"/>
    <row r="2" spans="2:12" ht="16.5" thickBot="1" x14ac:dyDescent="0.3">
      <c r="B2" s="7" t="s">
        <v>26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ht="15.75" thickBot="1" x14ac:dyDescent="0.3"/>
    <row r="4" spans="2:12" ht="16.5" thickBot="1" x14ac:dyDescent="0.3">
      <c r="B4" s="17" t="s">
        <v>9</v>
      </c>
    </row>
    <row r="6" spans="2:12" x14ac:dyDescent="0.25">
      <c r="C6" t="s">
        <v>1</v>
      </c>
      <c r="E6" t="s">
        <v>27</v>
      </c>
      <c r="F6" t="s">
        <v>28</v>
      </c>
      <c r="G6" t="s">
        <v>29</v>
      </c>
    </row>
    <row r="7" spans="2:12" x14ac:dyDescent="0.25">
      <c r="C7">
        <f ca="1">RANDBETWEEN(1,6)</f>
        <v>1</v>
      </c>
      <c r="E7">
        <v>1</v>
      </c>
      <c r="F7">
        <f ca="1">COUNTIF(C7:C107,E7)</f>
        <v>16</v>
      </c>
      <c r="G7">
        <f ca="1">F7/100</f>
        <v>0.16</v>
      </c>
    </row>
    <row r="8" spans="2:12" x14ac:dyDescent="0.25">
      <c r="C8">
        <f t="shared" ref="C8:C71" ca="1" si="0">RANDBETWEEN(1,6)</f>
        <v>5</v>
      </c>
      <c r="E8">
        <v>2</v>
      </c>
      <c r="F8">
        <f t="shared" ref="F8:F12" ca="1" si="1">COUNTIF(C8:C108,E8)</f>
        <v>20</v>
      </c>
      <c r="G8">
        <f t="shared" ref="G8:G12" ca="1" si="2">F8/100</f>
        <v>0.2</v>
      </c>
    </row>
    <row r="9" spans="2:12" x14ac:dyDescent="0.25">
      <c r="C9">
        <f t="shared" ca="1" si="0"/>
        <v>4</v>
      </c>
      <c r="E9">
        <v>3</v>
      </c>
      <c r="F9">
        <f t="shared" ca="1" si="1"/>
        <v>17</v>
      </c>
      <c r="G9">
        <f t="shared" ca="1" si="2"/>
        <v>0.17</v>
      </c>
    </row>
    <row r="10" spans="2:12" x14ac:dyDescent="0.25">
      <c r="C10">
        <f t="shared" ca="1" si="0"/>
        <v>3</v>
      </c>
      <c r="E10">
        <v>4</v>
      </c>
      <c r="F10">
        <f t="shared" ca="1" si="1"/>
        <v>17</v>
      </c>
      <c r="G10">
        <f t="shared" ca="1" si="2"/>
        <v>0.17</v>
      </c>
    </row>
    <row r="11" spans="2:12" x14ac:dyDescent="0.25">
      <c r="C11">
        <f t="shared" ca="1" si="0"/>
        <v>1</v>
      </c>
      <c r="E11">
        <v>5</v>
      </c>
      <c r="F11">
        <f t="shared" ca="1" si="1"/>
        <v>11</v>
      </c>
      <c r="G11">
        <f t="shared" ca="1" si="2"/>
        <v>0.11</v>
      </c>
    </row>
    <row r="12" spans="2:12" x14ac:dyDescent="0.25">
      <c r="C12">
        <f t="shared" ca="1" si="0"/>
        <v>6</v>
      </c>
      <c r="E12">
        <v>6</v>
      </c>
      <c r="F12">
        <f t="shared" ca="1" si="1"/>
        <v>18</v>
      </c>
      <c r="G12">
        <f t="shared" ca="1" si="2"/>
        <v>0.18</v>
      </c>
    </row>
    <row r="13" spans="2:12" x14ac:dyDescent="0.25">
      <c r="C13">
        <f t="shared" ca="1" si="0"/>
        <v>1</v>
      </c>
    </row>
    <row r="14" spans="2:12" x14ac:dyDescent="0.25">
      <c r="C14">
        <f t="shared" ca="1" si="0"/>
        <v>2</v>
      </c>
    </row>
    <row r="15" spans="2:12" x14ac:dyDescent="0.25">
      <c r="C15">
        <f t="shared" ca="1" si="0"/>
        <v>6</v>
      </c>
    </row>
    <row r="16" spans="2:12" x14ac:dyDescent="0.25">
      <c r="C16">
        <f t="shared" ca="1" si="0"/>
        <v>1</v>
      </c>
    </row>
    <row r="17" spans="3:3" x14ac:dyDescent="0.25">
      <c r="C17">
        <f t="shared" ca="1" si="0"/>
        <v>6</v>
      </c>
    </row>
    <row r="18" spans="3:3" x14ac:dyDescent="0.25">
      <c r="C18">
        <f t="shared" ca="1" si="0"/>
        <v>6</v>
      </c>
    </row>
    <row r="19" spans="3:3" x14ac:dyDescent="0.25">
      <c r="C19">
        <f t="shared" ca="1" si="0"/>
        <v>4</v>
      </c>
    </row>
    <row r="20" spans="3:3" x14ac:dyDescent="0.25">
      <c r="C20">
        <f t="shared" ca="1" si="0"/>
        <v>2</v>
      </c>
    </row>
    <row r="21" spans="3:3" x14ac:dyDescent="0.25">
      <c r="C21">
        <f t="shared" ca="1" si="0"/>
        <v>4</v>
      </c>
    </row>
    <row r="22" spans="3:3" x14ac:dyDescent="0.25">
      <c r="C22">
        <f t="shared" ca="1" si="0"/>
        <v>6</v>
      </c>
    </row>
    <row r="23" spans="3:3" x14ac:dyDescent="0.25">
      <c r="C23">
        <f t="shared" ca="1" si="0"/>
        <v>3</v>
      </c>
    </row>
    <row r="24" spans="3:3" x14ac:dyDescent="0.25">
      <c r="C24">
        <f t="shared" ca="1" si="0"/>
        <v>3</v>
      </c>
    </row>
    <row r="25" spans="3:3" x14ac:dyDescent="0.25">
      <c r="C25">
        <f t="shared" ca="1" si="0"/>
        <v>2</v>
      </c>
    </row>
    <row r="26" spans="3:3" x14ac:dyDescent="0.25">
      <c r="C26">
        <f t="shared" ca="1" si="0"/>
        <v>1</v>
      </c>
    </row>
    <row r="27" spans="3:3" x14ac:dyDescent="0.25">
      <c r="C27">
        <f t="shared" ca="1" si="0"/>
        <v>2</v>
      </c>
    </row>
    <row r="28" spans="3:3" x14ac:dyDescent="0.25">
      <c r="C28">
        <f t="shared" ca="1" si="0"/>
        <v>3</v>
      </c>
    </row>
    <row r="29" spans="3:3" x14ac:dyDescent="0.25">
      <c r="C29">
        <f t="shared" ca="1" si="0"/>
        <v>3</v>
      </c>
    </row>
    <row r="30" spans="3:3" x14ac:dyDescent="0.25">
      <c r="C30">
        <f t="shared" ca="1" si="0"/>
        <v>3</v>
      </c>
    </row>
    <row r="31" spans="3:3" x14ac:dyDescent="0.25">
      <c r="C31">
        <f t="shared" ca="1" si="0"/>
        <v>4</v>
      </c>
    </row>
    <row r="32" spans="3:3" x14ac:dyDescent="0.25">
      <c r="C32">
        <f t="shared" ca="1" si="0"/>
        <v>5</v>
      </c>
    </row>
    <row r="33" spans="3:3" x14ac:dyDescent="0.25">
      <c r="C33">
        <f t="shared" ca="1" si="0"/>
        <v>5</v>
      </c>
    </row>
    <row r="34" spans="3:3" x14ac:dyDescent="0.25">
      <c r="C34">
        <f t="shared" ca="1" si="0"/>
        <v>4</v>
      </c>
    </row>
    <row r="35" spans="3:3" x14ac:dyDescent="0.25">
      <c r="C35">
        <f t="shared" ca="1" si="0"/>
        <v>6</v>
      </c>
    </row>
    <row r="36" spans="3:3" x14ac:dyDescent="0.25">
      <c r="C36">
        <f t="shared" ca="1" si="0"/>
        <v>2</v>
      </c>
    </row>
    <row r="37" spans="3:3" x14ac:dyDescent="0.25">
      <c r="C37">
        <f t="shared" ca="1" si="0"/>
        <v>5</v>
      </c>
    </row>
    <row r="38" spans="3:3" x14ac:dyDescent="0.25">
      <c r="C38">
        <f t="shared" ca="1" si="0"/>
        <v>6</v>
      </c>
    </row>
    <row r="39" spans="3:3" x14ac:dyDescent="0.25">
      <c r="C39">
        <f t="shared" ca="1" si="0"/>
        <v>1</v>
      </c>
    </row>
    <row r="40" spans="3:3" x14ac:dyDescent="0.25">
      <c r="C40">
        <f t="shared" ca="1" si="0"/>
        <v>4</v>
      </c>
    </row>
    <row r="41" spans="3:3" x14ac:dyDescent="0.25">
      <c r="C41">
        <f t="shared" ca="1" si="0"/>
        <v>4</v>
      </c>
    </row>
    <row r="42" spans="3:3" x14ac:dyDescent="0.25">
      <c r="C42">
        <f t="shared" ca="1" si="0"/>
        <v>3</v>
      </c>
    </row>
    <row r="43" spans="3:3" x14ac:dyDescent="0.25">
      <c r="C43">
        <f t="shared" ca="1" si="0"/>
        <v>4</v>
      </c>
    </row>
    <row r="44" spans="3:3" x14ac:dyDescent="0.25">
      <c r="C44">
        <f t="shared" ca="1" si="0"/>
        <v>4</v>
      </c>
    </row>
    <row r="45" spans="3:3" x14ac:dyDescent="0.25">
      <c r="C45">
        <f t="shared" ca="1" si="0"/>
        <v>6</v>
      </c>
    </row>
    <row r="46" spans="3:3" x14ac:dyDescent="0.25">
      <c r="C46">
        <f t="shared" ca="1" si="0"/>
        <v>2</v>
      </c>
    </row>
    <row r="47" spans="3:3" x14ac:dyDescent="0.25">
      <c r="C47">
        <f t="shared" ca="1" si="0"/>
        <v>6</v>
      </c>
    </row>
    <row r="48" spans="3:3" x14ac:dyDescent="0.25">
      <c r="C48">
        <f t="shared" ca="1" si="0"/>
        <v>6</v>
      </c>
    </row>
    <row r="49" spans="3:3" x14ac:dyDescent="0.25">
      <c r="C49">
        <f t="shared" ca="1" si="0"/>
        <v>4</v>
      </c>
    </row>
    <row r="50" spans="3:3" x14ac:dyDescent="0.25">
      <c r="C50">
        <f t="shared" ca="1" si="0"/>
        <v>1</v>
      </c>
    </row>
    <row r="51" spans="3:3" x14ac:dyDescent="0.25">
      <c r="C51">
        <f t="shared" ca="1" si="0"/>
        <v>1</v>
      </c>
    </row>
    <row r="52" spans="3:3" x14ac:dyDescent="0.25">
      <c r="C52">
        <f t="shared" ca="1" si="0"/>
        <v>6</v>
      </c>
    </row>
    <row r="53" spans="3:3" x14ac:dyDescent="0.25">
      <c r="C53">
        <f t="shared" ca="1" si="0"/>
        <v>5</v>
      </c>
    </row>
    <row r="54" spans="3:3" x14ac:dyDescent="0.25">
      <c r="C54">
        <f t="shared" ca="1" si="0"/>
        <v>4</v>
      </c>
    </row>
    <row r="55" spans="3:3" x14ac:dyDescent="0.25">
      <c r="C55">
        <f t="shared" ca="1" si="0"/>
        <v>2</v>
      </c>
    </row>
    <row r="56" spans="3:3" x14ac:dyDescent="0.25">
      <c r="C56">
        <f t="shared" ca="1" si="0"/>
        <v>2</v>
      </c>
    </row>
    <row r="57" spans="3:3" x14ac:dyDescent="0.25">
      <c r="C57">
        <f t="shared" ca="1" si="0"/>
        <v>2</v>
      </c>
    </row>
    <row r="58" spans="3:3" x14ac:dyDescent="0.25">
      <c r="C58">
        <f t="shared" ca="1" si="0"/>
        <v>4</v>
      </c>
    </row>
    <row r="59" spans="3:3" x14ac:dyDescent="0.25">
      <c r="C59">
        <f t="shared" ca="1" si="0"/>
        <v>2</v>
      </c>
    </row>
    <row r="60" spans="3:3" x14ac:dyDescent="0.25">
      <c r="C60">
        <f t="shared" ca="1" si="0"/>
        <v>5</v>
      </c>
    </row>
    <row r="61" spans="3:3" x14ac:dyDescent="0.25">
      <c r="C61">
        <f t="shared" ca="1" si="0"/>
        <v>6</v>
      </c>
    </row>
    <row r="62" spans="3:3" x14ac:dyDescent="0.25">
      <c r="C62">
        <f t="shared" ca="1" si="0"/>
        <v>3</v>
      </c>
    </row>
    <row r="63" spans="3:3" x14ac:dyDescent="0.25">
      <c r="C63">
        <f t="shared" ca="1" si="0"/>
        <v>1</v>
      </c>
    </row>
    <row r="64" spans="3:3" x14ac:dyDescent="0.25">
      <c r="C64">
        <f t="shared" ca="1" si="0"/>
        <v>2</v>
      </c>
    </row>
    <row r="65" spans="3:3" x14ac:dyDescent="0.25">
      <c r="C65">
        <f t="shared" ca="1" si="0"/>
        <v>2</v>
      </c>
    </row>
    <row r="66" spans="3:3" x14ac:dyDescent="0.25">
      <c r="C66">
        <f t="shared" ca="1" si="0"/>
        <v>3</v>
      </c>
    </row>
    <row r="67" spans="3:3" x14ac:dyDescent="0.25">
      <c r="C67">
        <f t="shared" ca="1" si="0"/>
        <v>2</v>
      </c>
    </row>
    <row r="68" spans="3:3" x14ac:dyDescent="0.25">
      <c r="C68">
        <f t="shared" ca="1" si="0"/>
        <v>5</v>
      </c>
    </row>
    <row r="69" spans="3:3" x14ac:dyDescent="0.25">
      <c r="C69">
        <f t="shared" ca="1" si="0"/>
        <v>3</v>
      </c>
    </row>
    <row r="70" spans="3:3" x14ac:dyDescent="0.25">
      <c r="C70">
        <f t="shared" ca="1" si="0"/>
        <v>1</v>
      </c>
    </row>
    <row r="71" spans="3:3" x14ac:dyDescent="0.25">
      <c r="C71">
        <f t="shared" ca="1" si="0"/>
        <v>4</v>
      </c>
    </row>
    <row r="72" spans="3:3" x14ac:dyDescent="0.25">
      <c r="C72">
        <f t="shared" ref="C72:C107" ca="1" si="3">RANDBETWEEN(1,6)</f>
        <v>4</v>
      </c>
    </row>
    <row r="73" spans="3:3" x14ac:dyDescent="0.25">
      <c r="C73">
        <f t="shared" ca="1" si="3"/>
        <v>3</v>
      </c>
    </row>
    <row r="74" spans="3:3" x14ac:dyDescent="0.25">
      <c r="C74">
        <f t="shared" ca="1" si="3"/>
        <v>1</v>
      </c>
    </row>
    <row r="75" spans="3:3" x14ac:dyDescent="0.25">
      <c r="C75">
        <f t="shared" ca="1" si="3"/>
        <v>5</v>
      </c>
    </row>
    <row r="76" spans="3:3" x14ac:dyDescent="0.25">
      <c r="C76">
        <f t="shared" ca="1" si="3"/>
        <v>2</v>
      </c>
    </row>
    <row r="77" spans="3:3" x14ac:dyDescent="0.25">
      <c r="C77">
        <f t="shared" ca="1" si="3"/>
        <v>1</v>
      </c>
    </row>
    <row r="78" spans="3:3" x14ac:dyDescent="0.25">
      <c r="C78">
        <f t="shared" ca="1" si="3"/>
        <v>3</v>
      </c>
    </row>
    <row r="79" spans="3:3" x14ac:dyDescent="0.25">
      <c r="C79">
        <f t="shared" ca="1" si="3"/>
        <v>3</v>
      </c>
    </row>
    <row r="80" spans="3:3" x14ac:dyDescent="0.25">
      <c r="C80">
        <f t="shared" ca="1" si="3"/>
        <v>6</v>
      </c>
    </row>
    <row r="81" spans="3:3" x14ac:dyDescent="0.25">
      <c r="C81">
        <f t="shared" ca="1" si="3"/>
        <v>3</v>
      </c>
    </row>
    <row r="82" spans="3:3" x14ac:dyDescent="0.25">
      <c r="C82">
        <f t="shared" ca="1" si="3"/>
        <v>6</v>
      </c>
    </row>
    <row r="83" spans="3:3" x14ac:dyDescent="0.25">
      <c r="C83">
        <f t="shared" ca="1" si="3"/>
        <v>6</v>
      </c>
    </row>
    <row r="84" spans="3:3" x14ac:dyDescent="0.25">
      <c r="C84">
        <f t="shared" ca="1" si="3"/>
        <v>6</v>
      </c>
    </row>
    <row r="85" spans="3:3" x14ac:dyDescent="0.25">
      <c r="C85">
        <f t="shared" ca="1" si="3"/>
        <v>5</v>
      </c>
    </row>
    <row r="86" spans="3:3" x14ac:dyDescent="0.25">
      <c r="C86">
        <f t="shared" ca="1" si="3"/>
        <v>1</v>
      </c>
    </row>
    <row r="87" spans="3:3" x14ac:dyDescent="0.25">
      <c r="C87">
        <f t="shared" ca="1" si="3"/>
        <v>2</v>
      </c>
    </row>
    <row r="88" spans="3:3" x14ac:dyDescent="0.25">
      <c r="C88">
        <f t="shared" ca="1" si="3"/>
        <v>4</v>
      </c>
    </row>
    <row r="89" spans="3:3" x14ac:dyDescent="0.25">
      <c r="C89">
        <f t="shared" ca="1" si="3"/>
        <v>2</v>
      </c>
    </row>
    <row r="90" spans="3:3" x14ac:dyDescent="0.25">
      <c r="C90">
        <f t="shared" ca="1" si="3"/>
        <v>5</v>
      </c>
    </row>
    <row r="91" spans="3:3" x14ac:dyDescent="0.25">
      <c r="C91">
        <f t="shared" ca="1" si="3"/>
        <v>2</v>
      </c>
    </row>
    <row r="92" spans="3:3" x14ac:dyDescent="0.25">
      <c r="C92">
        <f t="shared" ca="1" si="3"/>
        <v>1</v>
      </c>
    </row>
    <row r="93" spans="3:3" x14ac:dyDescent="0.25">
      <c r="C93">
        <f t="shared" ca="1" si="3"/>
        <v>4</v>
      </c>
    </row>
    <row r="94" spans="3:3" x14ac:dyDescent="0.25">
      <c r="C94">
        <f t="shared" ca="1" si="3"/>
        <v>4</v>
      </c>
    </row>
    <row r="95" spans="3:3" x14ac:dyDescent="0.25">
      <c r="C95">
        <f t="shared" ca="1" si="3"/>
        <v>3</v>
      </c>
    </row>
    <row r="96" spans="3:3" x14ac:dyDescent="0.25">
      <c r="C96">
        <f t="shared" ca="1" si="3"/>
        <v>6</v>
      </c>
    </row>
    <row r="97" spans="3:3" x14ac:dyDescent="0.25">
      <c r="C97">
        <f t="shared" ca="1" si="3"/>
        <v>2</v>
      </c>
    </row>
    <row r="98" spans="3:3" x14ac:dyDescent="0.25">
      <c r="C98">
        <f t="shared" ca="1" si="3"/>
        <v>6</v>
      </c>
    </row>
    <row r="99" spans="3:3" x14ac:dyDescent="0.25">
      <c r="C99">
        <f t="shared" ca="1" si="3"/>
        <v>5</v>
      </c>
    </row>
    <row r="100" spans="3:3" x14ac:dyDescent="0.25">
      <c r="C100">
        <f t="shared" ca="1" si="3"/>
        <v>1</v>
      </c>
    </row>
    <row r="101" spans="3:3" x14ac:dyDescent="0.25">
      <c r="C101">
        <f t="shared" ca="1" si="3"/>
        <v>2</v>
      </c>
    </row>
    <row r="102" spans="3:3" x14ac:dyDescent="0.25">
      <c r="C102">
        <f t="shared" ca="1" si="3"/>
        <v>3</v>
      </c>
    </row>
    <row r="103" spans="3:3" x14ac:dyDescent="0.25">
      <c r="C103">
        <f t="shared" ca="1" si="3"/>
        <v>3</v>
      </c>
    </row>
    <row r="104" spans="3:3" x14ac:dyDescent="0.25">
      <c r="C104">
        <f t="shared" ca="1" si="3"/>
        <v>4</v>
      </c>
    </row>
    <row r="105" spans="3:3" x14ac:dyDescent="0.25">
      <c r="C105">
        <f t="shared" ca="1" si="3"/>
        <v>5</v>
      </c>
    </row>
    <row r="106" spans="3:3" x14ac:dyDescent="0.25">
      <c r="C106">
        <f t="shared" ca="1" si="3"/>
        <v>1</v>
      </c>
    </row>
    <row r="107" spans="3:3" x14ac:dyDescent="0.25">
      <c r="C107">
        <f t="shared" ca="1" si="3"/>
        <v>2</v>
      </c>
    </row>
  </sheetData>
  <mergeCells count="1">
    <mergeCell ref="B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100-C07E-4A5D-8012-28AEABF1B9F3}">
  <dimension ref="B1:M11"/>
  <sheetViews>
    <sheetView workbookViewId="0">
      <selection activeCell="B4" sqref="B4"/>
    </sheetView>
  </sheetViews>
  <sheetFormatPr defaultRowHeight="15" x14ac:dyDescent="0.25"/>
  <cols>
    <col min="4" max="4" width="4.42578125" bestFit="1" customWidth="1"/>
    <col min="5" max="5" width="23.42578125" bestFit="1" customWidth="1"/>
    <col min="6" max="6" width="6.140625" bestFit="1" customWidth="1"/>
  </cols>
  <sheetData>
    <row r="1" spans="2:13" ht="15.75" thickBot="1" x14ac:dyDescent="0.3"/>
    <row r="2" spans="2:13" ht="16.5" thickBot="1" x14ac:dyDescent="0.3">
      <c r="B2" s="24" t="s">
        <v>30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2:13" ht="15.75" thickBot="1" x14ac:dyDescent="0.3"/>
    <row r="4" spans="2:13" ht="16.5" thickBot="1" x14ac:dyDescent="0.3">
      <c r="B4" s="17" t="s">
        <v>9</v>
      </c>
    </row>
    <row r="6" spans="2:13" x14ac:dyDescent="0.25">
      <c r="D6" s="11" t="s">
        <v>7</v>
      </c>
      <c r="E6" s="27" t="s">
        <v>31</v>
      </c>
      <c r="F6" s="11" t="s">
        <v>8</v>
      </c>
    </row>
    <row r="7" spans="2:13" x14ac:dyDescent="0.25">
      <c r="D7" s="12" t="s">
        <v>32</v>
      </c>
      <c r="E7" s="28" t="s">
        <v>36</v>
      </c>
      <c r="F7" s="12">
        <v>15</v>
      </c>
    </row>
    <row r="8" spans="2:13" x14ac:dyDescent="0.25">
      <c r="D8" s="12" t="s">
        <v>33</v>
      </c>
      <c r="E8" s="28" t="s">
        <v>37</v>
      </c>
      <c r="F8" s="12">
        <v>0.5</v>
      </c>
    </row>
    <row r="9" spans="2:13" x14ac:dyDescent="0.25">
      <c r="D9" s="12" t="s">
        <v>34</v>
      </c>
      <c r="E9" s="28" t="s">
        <v>35</v>
      </c>
      <c r="F9" s="12">
        <v>8</v>
      </c>
    </row>
    <row r="11" spans="2:13" x14ac:dyDescent="0.25">
      <c r="E11" t="s">
        <v>29</v>
      </c>
      <c r="F11" s="29">
        <f>1-_xlfn.BINOM.DIST(7,F7,F8,TRUE)</f>
        <v>0.5</v>
      </c>
    </row>
  </sheetData>
  <mergeCells count="1">
    <mergeCell ref="B2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A787-EDD0-459A-A03A-B5F585944A6E}">
  <dimension ref="B1:N14"/>
  <sheetViews>
    <sheetView tabSelected="1" workbookViewId="0">
      <selection activeCell="H9" sqref="H9"/>
    </sheetView>
  </sheetViews>
  <sheetFormatPr defaultRowHeight="15" x14ac:dyDescent="0.25"/>
  <cols>
    <col min="4" max="4" width="12.42578125" bestFit="1" customWidth="1"/>
    <col min="5" max="5" width="24.7109375" bestFit="1" customWidth="1"/>
    <col min="6" max="6" width="8.5703125" customWidth="1"/>
    <col min="7" max="7" width="20" bestFit="1" customWidth="1"/>
  </cols>
  <sheetData>
    <row r="1" spans="2:14" ht="15.75" thickBot="1" x14ac:dyDescent="0.3"/>
    <row r="2" spans="2:14" ht="16.5" thickBot="1" x14ac:dyDescent="0.3">
      <c r="B2" s="7" t="s">
        <v>40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4" spans="2:14" ht="15.75" thickBot="1" x14ac:dyDescent="0.3"/>
    <row r="5" spans="2:14" ht="16.5" thickBot="1" x14ac:dyDescent="0.3">
      <c r="B5" s="17" t="s">
        <v>9</v>
      </c>
    </row>
    <row r="6" spans="2:14" x14ac:dyDescent="0.25">
      <c r="D6" t="s">
        <v>41</v>
      </c>
      <c r="E6" t="s">
        <v>42</v>
      </c>
      <c r="G6" t="s">
        <v>43</v>
      </c>
    </row>
    <row r="7" spans="2:14" x14ac:dyDescent="0.25">
      <c r="D7">
        <v>10</v>
      </c>
      <c r="E7">
        <f>LN(D7)</f>
        <v>2.3025850929940459</v>
      </c>
      <c r="G7" t="s">
        <v>44</v>
      </c>
      <c r="H7">
        <f>_xlfn.VAR.S(D7:D14)</f>
        <v>125399.55357142857</v>
      </c>
    </row>
    <row r="8" spans="2:14" x14ac:dyDescent="0.25">
      <c r="D8">
        <v>15</v>
      </c>
      <c r="E8">
        <f t="shared" ref="E8:E14" si="0">LN(D8)</f>
        <v>2.7080502011022101</v>
      </c>
      <c r="G8" t="s">
        <v>45</v>
      </c>
      <c r="H8">
        <f>_xlfn.VAR.S(E7:E14)</f>
        <v>2.9416858180643999</v>
      </c>
    </row>
    <row r="9" spans="2:14" x14ac:dyDescent="0.25">
      <c r="D9">
        <v>20</v>
      </c>
      <c r="E9">
        <f t="shared" si="0"/>
        <v>2.9957322735539909</v>
      </c>
    </row>
    <row r="10" spans="2:14" x14ac:dyDescent="0.25">
      <c r="D10">
        <v>30</v>
      </c>
      <c r="E10">
        <f t="shared" si="0"/>
        <v>3.4011973816621555</v>
      </c>
    </row>
    <row r="11" spans="2:14" x14ac:dyDescent="0.25">
      <c r="D11">
        <v>50</v>
      </c>
      <c r="E11">
        <f t="shared" si="0"/>
        <v>3.912023005428146</v>
      </c>
    </row>
    <row r="12" spans="2:14" x14ac:dyDescent="0.25">
      <c r="D12">
        <v>200</v>
      </c>
      <c r="E12">
        <f t="shared" si="0"/>
        <v>5.2983173665480363</v>
      </c>
    </row>
    <row r="13" spans="2:14" x14ac:dyDescent="0.25">
      <c r="D13">
        <v>500</v>
      </c>
      <c r="E13">
        <f t="shared" si="0"/>
        <v>6.2146080984221914</v>
      </c>
    </row>
    <row r="14" spans="2:14" x14ac:dyDescent="0.25">
      <c r="D14">
        <v>1000</v>
      </c>
      <c r="E14">
        <f t="shared" si="0"/>
        <v>6.9077552789821368</v>
      </c>
    </row>
  </sheetData>
  <mergeCells count="1">
    <mergeCell ref="B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Q.No.1</vt:lpstr>
      <vt:lpstr>Q.No.2</vt:lpstr>
      <vt:lpstr>Q.No.3</vt:lpstr>
      <vt:lpstr>Q.No.4</vt:lpstr>
      <vt:lpstr>Q.No.5</vt:lpstr>
      <vt:lpstr>Q.No.6</vt:lpstr>
      <vt:lpstr>Q.No.7</vt:lpstr>
      <vt:lpstr>Q.No.8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Ansari</dc:creator>
  <cp:lastModifiedBy>Muzammil Ansari</cp:lastModifiedBy>
  <dcterms:created xsi:type="dcterms:W3CDTF">2026-01-08T04:56:04Z</dcterms:created>
  <dcterms:modified xsi:type="dcterms:W3CDTF">2026-01-08T06:34:53Z</dcterms:modified>
</cp:coreProperties>
</file>