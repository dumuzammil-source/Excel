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W Skills\"/>
    </mc:Choice>
  </mc:AlternateContent>
  <xr:revisionPtr revIDLastSave="0" documentId="8_{85CAD911-818D-4E0F-AAB8-EB6A52B8B6BC}" xr6:coauthVersionLast="47" xr6:coauthVersionMax="47" xr10:uidLastSave="{00000000-0000-0000-0000-000000000000}"/>
  <bookViews>
    <workbookView xWindow="-120" yWindow="-120" windowWidth="20730" windowHeight="11160" activeTab="1" xr2:uid="{7985B6D5-897D-48C4-9F3A-E7659F90EF26}"/>
  </bookViews>
  <sheets>
    <sheet name="Q.No.1" sheetId="1" r:id="rId1"/>
    <sheet name="Q.No.2 " sheetId="2" r:id="rId2"/>
    <sheet name="Q.No.3 " sheetId="3" r:id="rId3"/>
    <sheet name="Q.No.4" sheetId="4" r:id="rId4"/>
    <sheet name="Q.No.5" sheetId="5" r:id="rId5"/>
    <sheet name="Q.No.6" sheetId="6" r:id="rId6"/>
    <sheet name="Q.No.7" sheetId="7" r:id="rId7"/>
    <sheet name="Q.No.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G4" i="8"/>
  <c r="G4" i="7"/>
  <c r="F14" i="6"/>
  <c r="F15" i="6"/>
  <c r="F13" i="6"/>
  <c r="E12" i="5"/>
  <c r="E4" i="3"/>
  <c r="E5" i="3"/>
  <c r="E6" i="3"/>
  <c r="E7" i="3"/>
  <c r="E8" i="3"/>
  <c r="F5" i="2"/>
  <c r="F6" i="2"/>
  <c r="F7" i="2"/>
  <c r="F8" i="2"/>
  <c r="E4" i="1"/>
  <c r="E5" i="1"/>
  <c r="E6" i="1"/>
  <c r="E7" i="1"/>
  <c r="E8" i="1"/>
</calcChain>
</file>

<file path=xl/sharedStrings.xml><?xml version="1.0" encoding="utf-8"?>
<sst xmlns="http://schemas.openxmlformats.org/spreadsheetml/2006/main" count="104" uniqueCount="69">
  <si>
    <t>Student Name</t>
  </si>
  <si>
    <t>Marks</t>
  </si>
  <si>
    <t>Riya</t>
  </si>
  <si>
    <t>Siya</t>
  </si>
  <si>
    <t>Raju</t>
  </si>
  <si>
    <t>Rahul</t>
  </si>
  <si>
    <t>Ram</t>
  </si>
  <si>
    <t>Result</t>
  </si>
  <si>
    <t>Q.No.1 - Write a formula to check if the marks in cell are greater than or equal to 40. If yes, return , "Pass", otherwise "Fail"</t>
  </si>
  <si>
    <t>Formula - IF($D4&gt;=40,"Pass","Fail")</t>
  </si>
  <si>
    <t>Employee</t>
  </si>
  <si>
    <t>Sales</t>
  </si>
  <si>
    <t>Attendance</t>
  </si>
  <si>
    <t>Arjun</t>
  </si>
  <si>
    <t>Simarn</t>
  </si>
  <si>
    <t>Rohit</t>
  </si>
  <si>
    <t>Anjali</t>
  </si>
  <si>
    <t>Formula - IF(AND($D5&gt;40,$E5&gt;=90),"Bonus","No Bonus")</t>
  </si>
  <si>
    <t>Q.No.3 -Write a nested IF formula:  If marks in are ≥ 90 →"A" , ≥ 75 →"B" , ≥ 50 →"C" , otherwise "fail".</t>
  </si>
  <si>
    <t>Raj</t>
  </si>
  <si>
    <t>Neha</t>
  </si>
  <si>
    <t>Vivek</t>
  </si>
  <si>
    <t>Rani</t>
  </si>
  <si>
    <t>Sneha</t>
  </si>
  <si>
    <t>Formula -IF($D4&gt;=90,"A",IF($D4&gt;=75,"B",IF($D4&gt;=50,"C")))</t>
  </si>
  <si>
    <t>Q.No.4 - 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</si>
  <si>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</si>
  <si>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</si>
  <si>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</si>
  <si>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</si>
  <si>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</si>
  <si>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</si>
  <si>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</si>
  <si>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</si>
  <si>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</si>
  <si>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</si>
  <si>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</si>
  <si>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</si>
  <si>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Explanation</t>
  </si>
  <si>
    <t>Q.No.5 - 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</si>
  <si>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</si>
  <si>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</si>
  <si>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</si>
  <si>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Commission Rate for Sales of ₹45,000</t>
  </si>
  <si>
    <t>Q.No.6 - 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</si>
  <si>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</si>
  <si>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</si>
  <si>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</si>
  <si>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</si>
  <si>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</si>
  <si>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</si>
  <si>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</si>
  <si>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</si>
  <si>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 display "OK". </t>
  </si>
  <si>
    <t>Status</t>
  </si>
  <si>
    <t>Q.No.7 - Find the salary of EmpID = E105 using INDEX-MATCH Function.</t>
  </si>
  <si>
    <t>Salary</t>
  </si>
  <si>
    <t>E105</t>
  </si>
  <si>
    <t>E106</t>
  </si>
  <si>
    <t>Q.No.8 - U se the XLOOKUP function to find the Department of the employee with Emp ID = E303.</t>
  </si>
  <si>
    <t>E303</t>
  </si>
  <si>
    <t>E301</t>
  </si>
  <si>
    <t>VLOOKUP is used because:</t>
  </si>
  <si>
    <t>The Employee ID is in the first (leftmost) column</t>
  </si>
  <si>
    <t>We want to find related data (Department) from the right side</t>
  </si>
  <si>
    <r>
      <t>3</t>
    </r>
    <r>
      <rPr>
        <sz val="12"/>
        <color theme="1"/>
        <rFont val="Calibri"/>
        <family val="2"/>
        <scheme val="minor"/>
      </rPr>
      <t xml:space="preserve"> → Department is in the 3rd column</t>
    </r>
  </si>
  <si>
    <r>
      <t>FALSE</t>
    </r>
    <r>
      <rPr>
        <sz val="12"/>
        <color theme="1"/>
        <rFont val="Calibri"/>
        <family val="2"/>
        <scheme val="minor"/>
      </rPr>
      <t xml:space="preserve"> → ensures an exact match</t>
    </r>
  </si>
  <si>
    <t>Formula -VLOOKUP(G4,$C$3:$E$7,3,FALSE)</t>
  </si>
  <si>
    <t>Q.No.2 - A company gives a bonus  if sales are above 40,000 and attendance is greater than or equal to 90%. Write a formula to calculate whether the employee will get a bonus or not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</si>
</sst>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2" fillId="0" borderId="0" xfId="0" applyFont="1" applyFill="1" applyBorder="1"/>
    <xf numFmtId="0" fontId="0" fillId="0" borderId="1" xfId="0" applyBorder="1"/>
    <xf numFmtId="0" fontId="2" fillId="0" borderId="1" xfId="0" applyFont="1" applyBorder="1"/>
    <xf numFmtId="9" fontId="4" fillId="0" borderId="1" xfId="0" applyNumberFormat="1" applyFont="1" applyBorder="1" applyAlignment="1">
      <alignment horizontal="right" wrapText="1"/>
    </xf>
    <xf numFmtId="0" fontId="6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9" xfId="0" applyBorder="1"/>
    <xf numFmtId="0" fontId="0" fillId="0" borderId="7" xfId="0" applyBorder="1"/>
    <xf numFmtId="0" fontId="0" fillId="0" borderId="6" xfId="0" applyBorder="1"/>
    <xf numFmtId="0" fontId="6" fillId="2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2" fillId="0" borderId="2" xfId="0" applyFont="1" applyBorder="1"/>
    <xf numFmtId="0" fontId="0" fillId="0" borderId="2" xfId="0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2" borderId="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2" borderId="1" xfId="0" applyFont="1" applyFill="1" applyBorder="1"/>
    <xf numFmtId="0" fontId="6" fillId="2" borderId="0" xfId="0" applyFont="1" applyFill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11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/>
    </xf>
    <xf numFmtId="0" fontId="8" fillId="5" borderId="13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 wrapText="1"/>
    </xf>
    <xf numFmtId="9" fontId="4" fillId="0" borderId="3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horizontal="right" wrapText="1"/>
    </xf>
    <xf numFmtId="9" fontId="4" fillId="0" borderId="9" xfId="0" applyNumberFormat="1" applyFont="1" applyBorder="1" applyAlignment="1">
      <alignment horizontal="right" wrapText="1"/>
    </xf>
    <xf numFmtId="3" fontId="0" fillId="0" borderId="1" xfId="0" applyNumberFormat="1" applyBorder="1"/>
    <xf numFmtId="0" fontId="3" fillId="0" borderId="5" xfId="0" applyFont="1" applyBorder="1" applyAlignment="1">
      <alignment vertical="center"/>
    </xf>
    <xf numFmtId="9" fontId="0" fillId="0" borderId="3" xfId="2" applyFont="1" applyBorder="1"/>
    <xf numFmtId="9" fontId="4" fillId="0" borderId="8" xfId="0" applyNumberFormat="1" applyFont="1" applyBorder="1" applyAlignment="1">
      <alignment horizontal="right" wrapText="1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8" xfId="0" applyBorder="1"/>
    <xf numFmtId="0" fontId="2" fillId="0" borderId="6" xfId="0" applyFont="1" applyFill="1" applyBorder="1"/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1" xfId="0" applyFill="1" applyBorder="1"/>
    <xf numFmtId="0" fontId="0" fillId="0" borderId="0" xfId="0" applyFont="1" applyAlignment="1">
      <alignment vertical="center"/>
    </xf>
    <xf numFmtId="0" fontId="2" fillId="0" borderId="0" xfId="0" applyFont="1" applyAlignment="1"/>
    <xf numFmtId="0" fontId="2" fillId="3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4">
    <cellStyle name="Comma" xfId="1" builtinId="3"/>
    <cellStyle name="Comma 2" xfId="3" xr:uid="{84506B00-01CD-4552-A099-5DFEE272B07B}"/>
    <cellStyle name="Normal" xfId="0" builtinId="0"/>
    <cellStyle name="Percent" xfId="2" builtinId="5"/>
  </cellStyles>
  <dxfs count="6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ADB32-A774-4F20-8B55-9B67D1FBE6D9}" name="Table1" displayName="Table1" ref="C3:E8" totalsRowShown="0" headerRowDxfId="60" headerRowBorderDxfId="65" tableBorderDxfId="66" totalsRowBorderDxfId="64">
  <tableColumns count="3">
    <tableColumn id="1" xr3:uid="{B3F1F345-FDD3-4355-BF66-DDFAA6F4D2E9}" name="Student Name" dataDxfId="63"/>
    <tableColumn id="2" xr3:uid="{6E893E05-B342-43C9-99E2-336E3CBAEADF}" name="Marks" dataDxfId="62"/>
    <tableColumn id="3" xr3:uid="{E119E830-4C57-404C-92D5-AAE3786DE1C1}" name="Result" dataDxfId="61">
      <calculatedColumnFormula>IF($D4&gt;=40,"Pass","Fail")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97B3F3-206B-4843-9D83-8DA9DF708E5E}" name="Table12" displayName="Table12" ref="C4:F8" totalsRowShown="0" headerRowDxfId="0" tableBorderDxfId="4">
  <tableColumns count="4">
    <tableColumn id="1" xr3:uid="{70957BDA-0D60-49F7-9415-C38804B29C1F}" name="Employee" dataDxfId="3"/>
    <tableColumn id="2" xr3:uid="{B34A03F8-A98C-467F-91FE-601CC08E37AE}" name="Sales" dataDxfId="2" dataCellStyle="Comma"/>
    <tableColumn id="3" xr3:uid="{D3336793-0DF5-43DD-9689-12812E181C26}" name="Attendance" dataDxfId="1"/>
    <tableColumn id="4" xr3:uid="{CCE74F65-CE6D-492E-888C-78B6AD70D7D3}" name="Result">
      <calculatedColumnFormula>IF(AND($D5&gt;40,$E5&gt;=90),"Bonus","No Bonus")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557DC-35B4-4CBF-A0F1-26EA808FBC63}" name="Table2" displayName="Table2" ref="C3:E8" totalsRowShown="0" headerRowDxfId="52" dataDxfId="59" headerRowBorderDxfId="57" tableBorderDxfId="58" totalsRowBorderDxfId="56">
  <tableColumns count="3">
    <tableColumn id="1" xr3:uid="{E647E071-A594-4EA3-A604-8146CD673843}" name="Student Name" dataDxfId="55"/>
    <tableColumn id="2" xr3:uid="{184F2FE2-56E4-41B4-833A-F4D005AADF48}" name="Marks" dataDxfId="54"/>
    <tableColumn id="3" xr3:uid="{A44DAF1D-EAE2-4714-8135-FDD593508B76}" name="Result" dataDxfId="53">
      <calculatedColumnFormula>IF($D4&gt;=90,"A",IF($D4&gt;=75,"B",IF($D4&gt;=50,"C")))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D155B-8236-4C6C-817F-806C190C75C1}" name="Table3" displayName="Table3" ref="C3:E7" totalsRowShown="0" headerRowDxfId="45" dataDxfId="44" headerRowBorderDxfId="50" tableBorderDxfId="51" totalsRowBorderDxfId="49">
  <tableColumns count="3">
    <tableColumn id="1" xr3:uid="{FCA2CC0A-6C92-4AA3-A88D-3070F7570E34}" name="EmpID" dataDxfId="48"/>
    <tableColumn id="2" xr3:uid="{D72EE05A-E6E1-444A-A39E-2ABD0E7EAE7C}" name="Name" dataDxfId="47"/>
    <tableColumn id="3" xr3:uid="{95AF7DFC-6A5A-43C4-A9BE-F87DC9CD94FB}" name="Department" dataDxfId="4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670E5-5103-48ED-912C-1638872515AC}" name="Table4" displayName="Table4" ref="C3:D7" totalsRowShown="0" headerRowBorderDxfId="42" tableBorderDxfId="43" totalsRowBorderDxfId="41">
  <tableColumns count="2">
    <tableColumn id="1" xr3:uid="{38527B7E-4998-469B-B888-A1EAFD4D280E}" name="Sales Amount" dataDxfId="40"/>
    <tableColumn id="2" xr3:uid="{0337A987-0E44-40DA-8C1A-5709DC44E12A}" name="Commission Rate" dataDxfId="3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BFC56F-9D21-4846-ABCE-1C59120222FF}" name="Table5" displayName="Table5" ref="C11:E15" totalsRowShown="0" headerRowDxfId="32" headerRowBorderDxfId="37" tableBorderDxfId="38" totalsRowBorderDxfId="36">
  <tableColumns count="3">
    <tableColumn id="1" xr3:uid="{59599677-B2A6-489B-BFE5-809C5C955AD9}" name="Sales Amount" dataDxfId="35"/>
    <tableColumn id="2" xr3:uid="{55344A84-D3F4-4982-B766-A919851FB7C0}" name="Commission Rate" dataDxfId="34"/>
    <tableColumn id="3" xr3:uid="{C9065C38-81E6-46C6-8321-1F2FC98D4BA3}" name="Commission Rate for Sales of ₹45,000" dataDxfId="3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B971F-A34D-49E2-BC30-9BB7F6E02B15}" name="Table6" displayName="Table6" ref="C3:E6" totalsRowShown="0" headerRowDxfId="25" headerRowBorderDxfId="30" tableBorderDxfId="31" totalsRowBorderDxfId="29">
  <tableColumns count="3">
    <tableColumn id="1" xr3:uid="{BF0137FC-231F-4411-885B-792E7852A4AA}" name="Employee Name" dataDxfId="28"/>
    <tableColumn id="2" xr3:uid="{4D477F5B-A7B3-4EF0-A68B-95C5AE490875}" name="Leaves Taken" dataDxfId="27"/>
    <tableColumn id="3" xr3:uid="{A1DE4C33-BDC6-4323-965D-2481EC4617F3}" name="Leaves Allowed" dataDxfId="2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F8603E-60B1-455A-A1ED-0822F9ABFF9B}" name="Table7" displayName="Table7" ref="C12:F15" totalsRowShown="0" headerRowDxfId="17" headerRowBorderDxfId="23" tableBorderDxfId="24" totalsRowBorderDxfId="22">
  <tableColumns count="4">
    <tableColumn id="1" xr3:uid="{FCF65BBF-94B4-4464-82B6-FAACC81BB6BF}" name="Employee Name" dataDxfId="21"/>
    <tableColumn id="2" xr3:uid="{6B5FEE94-B640-40BC-A683-FC9545C33E5D}" name="Leaves Taken" dataDxfId="20"/>
    <tableColumn id="3" xr3:uid="{567BA312-E8D4-4AF8-8F56-0EB3AD9A76A1}" name="Leaves Allowed" dataDxfId="19"/>
    <tableColumn id="4" xr3:uid="{5AF94B61-8321-47AC-A1C4-AD320F987262}" name="Status" dataDxfId="18">
      <calculatedColumnFormula>IF($D13&gt;$E13,"Exceeded","OK")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9274ED-2710-45B7-9E4C-7556E0D5E150}" name="Table8" displayName="Table8" ref="C3:D7" totalsRowShown="0" headerRowDxfId="11" headerRowBorderDxfId="15" tableBorderDxfId="16" totalsRowBorderDxfId="14">
  <tableColumns count="2">
    <tableColumn id="1" xr3:uid="{A60E9847-375C-4D99-801C-93C167DEF2F8}" name="EmpID" dataDxfId="13"/>
    <tableColumn id="2" xr3:uid="{20C21B9A-FE3E-4D33-B01C-45D6697A2FC0}" name="Salary" dataDxfId="12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E74DB9-2611-4C78-A969-A0CF18BEA67C}" name="Table9" displayName="Table9" ref="F3:G4" totalsRowShown="0">
  <tableColumns count="2">
    <tableColumn id="1" xr3:uid="{28B5C4E6-262F-42C7-8627-991A14F7F756}" name="EmpID"/>
    <tableColumn id="2" xr3:uid="{50258C23-113A-43C6-990F-C87A53A891F2}" name="Salary">
      <calculatedColumnFormula>INDEX(D4:D7,MATCH(F4,C4:C7,0))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107906-FB32-4969-BDF4-4273C1663F24}" name="Table10" displayName="Table10" ref="C3:D7" totalsRowShown="0" headerRowDxfId="5" headerRowBorderDxfId="9" tableBorderDxfId="10" totalsRowBorderDxfId="8">
  <tableColumns count="2">
    <tableColumn id="1" xr3:uid="{6AEBE84C-6EBC-40E3-A77E-B70529C2EC8B}" name="EmpID" dataDxfId="7"/>
    <tableColumn id="2" xr3:uid="{BC73DD51-F355-42F6-BBDE-6DD4827402FC}" name="Department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CE1E-2D1E-4F00-AEBC-7D3DDE468E88}">
  <dimension ref="B1:M8"/>
  <sheetViews>
    <sheetView workbookViewId="0">
      <selection activeCell="J9" sqref="J9"/>
    </sheetView>
  </sheetViews>
  <sheetFormatPr defaultRowHeight="15" x14ac:dyDescent="0.25"/>
  <cols>
    <col min="3" max="3" width="17.28515625" customWidth="1"/>
  </cols>
  <sheetData>
    <row r="1" spans="2:13" ht="15.75" x14ac:dyDescent="0.25">
      <c r="B1" s="23" t="s">
        <v>8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3" spans="2:13" ht="15.75" x14ac:dyDescent="0.25">
      <c r="C3" s="11" t="s">
        <v>0</v>
      </c>
      <c r="D3" s="12" t="s">
        <v>1</v>
      </c>
      <c r="E3" s="13" t="s">
        <v>7</v>
      </c>
    </row>
    <row r="4" spans="2:13" ht="15.75" x14ac:dyDescent="0.25">
      <c r="C4" s="9" t="s">
        <v>2</v>
      </c>
      <c r="D4" s="8">
        <v>45</v>
      </c>
      <c r="E4" s="10" t="str">
        <f>IF($D4&gt;=40,"Pass","Fail")</f>
        <v>Pass</v>
      </c>
      <c r="G4" s="20" t="s">
        <v>9</v>
      </c>
      <c r="H4" s="21"/>
      <c r="I4" s="21"/>
      <c r="J4" s="22"/>
    </row>
    <row r="5" spans="2:13" ht="15.75" x14ac:dyDescent="0.25">
      <c r="C5" s="9" t="s">
        <v>3</v>
      </c>
      <c r="D5" s="8">
        <v>72</v>
      </c>
      <c r="E5" s="10" t="str">
        <f t="shared" ref="E5:E8" si="0">IF($D5&gt;=40,"Pass","Fail")</f>
        <v>Pass</v>
      </c>
    </row>
    <row r="6" spans="2:13" ht="15.75" x14ac:dyDescent="0.25">
      <c r="C6" s="9" t="s">
        <v>4</v>
      </c>
      <c r="D6" s="8">
        <v>55</v>
      </c>
      <c r="E6" s="10" t="str">
        <f t="shared" si="0"/>
        <v>Pass</v>
      </c>
    </row>
    <row r="7" spans="2:13" ht="15.75" x14ac:dyDescent="0.25">
      <c r="C7" s="9" t="s">
        <v>5</v>
      </c>
      <c r="D7" s="8">
        <v>80</v>
      </c>
      <c r="E7" s="10" t="str">
        <f t="shared" si="0"/>
        <v>Pass</v>
      </c>
    </row>
    <row r="8" spans="2:13" ht="15.75" x14ac:dyDescent="0.25">
      <c r="C8" s="14" t="s">
        <v>6</v>
      </c>
      <c r="D8" s="15">
        <v>30</v>
      </c>
      <c r="E8" s="16" t="str">
        <f t="shared" si="0"/>
        <v>Fail</v>
      </c>
    </row>
  </sheetData>
  <mergeCells count="2">
    <mergeCell ref="B1:M1"/>
    <mergeCell ref="G4:J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9D45-87B0-4B85-BB10-10E42720FB7E}">
  <dimension ref="A1:S8"/>
  <sheetViews>
    <sheetView tabSelected="1" workbookViewId="0">
      <selection activeCell="K13" sqref="K13"/>
    </sheetView>
  </sheetViews>
  <sheetFormatPr defaultRowHeight="15" x14ac:dyDescent="0.25"/>
  <cols>
    <col min="1" max="1" width="17.5703125" customWidth="1"/>
    <col min="3" max="3" width="12" customWidth="1"/>
    <col min="4" max="4" width="10.5703125" bestFit="1" customWidth="1"/>
    <col min="5" max="5" width="13.42578125" customWidth="1"/>
  </cols>
  <sheetData>
    <row r="1" spans="1:19" ht="15.75" customHeight="1" x14ac:dyDescent="0.25">
      <c r="A1" s="87" t="s">
        <v>68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6"/>
      <c r="S1" s="85"/>
    </row>
    <row r="4" spans="1:19" ht="15.75" x14ac:dyDescent="0.25">
      <c r="C4" s="27" t="s">
        <v>10</v>
      </c>
      <c r="D4" s="5" t="s">
        <v>11</v>
      </c>
      <c r="E4" s="5" t="s">
        <v>12</v>
      </c>
      <c r="F4" s="3" t="s">
        <v>7</v>
      </c>
      <c r="H4" s="88" t="s">
        <v>17</v>
      </c>
      <c r="I4" s="89"/>
      <c r="J4" s="89"/>
      <c r="K4" s="89"/>
      <c r="L4" s="89"/>
      <c r="M4" s="89"/>
      <c r="N4" s="90"/>
    </row>
    <row r="5" spans="1:19" x14ac:dyDescent="0.25">
      <c r="C5" s="28" t="s">
        <v>13</v>
      </c>
      <c r="D5" s="2">
        <v>55000</v>
      </c>
      <c r="E5" s="1">
        <v>95</v>
      </c>
      <c r="F5" t="str">
        <f>IF(AND($D5&gt;40,$E5&gt;=90),"Bonus","No Bonus")</f>
        <v>Bonus</v>
      </c>
    </row>
    <row r="6" spans="1:19" x14ac:dyDescent="0.25">
      <c r="C6" s="28" t="s">
        <v>14</v>
      </c>
      <c r="D6" s="2">
        <v>65000</v>
      </c>
      <c r="E6" s="1">
        <v>85</v>
      </c>
      <c r="F6" t="str">
        <f t="shared" ref="F6:F8" si="0">IF(AND($D6&gt;40,$E6&gt;=90),"Bonus","No Bonus")</f>
        <v>No Bonus</v>
      </c>
    </row>
    <row r="7" spans="1:19" x14ac:dyDescent="0.25">
      <c r="C7" s="28" t="s">
        <v>15</v>
      </c>
      <c r="D7" s="2">
        <v>30000</v>
      </c>
      <c r="E7" s="1">
        <v>90</v>
      </c>
      <c r="F7" t="str">
        <f t="shared" si="0"/>
        <v>Bonus</v>
      </c>
    </row>
    <row r="8" spans="1:19" x14ac:dyDescent="0.25">
      <c r="C8" s="28" t="s">
        <v>16</v>
      </c>
      <c r="D8" s="2">
        <v>25000</v>
      </c>
      <c r="E8" s="1">
        <v>65</v>
      </c>
      <c r="F8" t="str">
        <f t="shared" si="0"/>
        <v>No Bonus</v>
      </c>
    </row>
  </sheetData>
  <mergeCells count="2">
    <mergeCell ref="A1:Q1"/>
    <mergeCell ref="H4:N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CA65-59F9-4A3B-AE60-F87C71624679}">
  <dimension ref="B1:L8"/>
  <sheetViews>
    <sheetView workbookViewId="0">
      <selection activeCell="K8" sqref="K8"/>
    </sheetView>
  </sheetViews>
  <sheetFormatPr defaultRowHeight="15" x14ac:dyDescent="0.25"/>
  <cols>
    <col min="3" max="3" width="15.85546875" customWidth="1"/>
  </cols>
  <sheetData>
    <row r="1" spans="2:12" ht="15.75" x14ac:dyDescent="0.25">
      <c r="B1" s="26" t="s">
        <v>18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2:12" ht="15.75" x14ac:dyDescent="0.25">
      <c r="C3" s="29" t="s">
        <v>0</v>
      </c>
      <c r="D3" s="30" t="s">
        <v>1</v>
      </c>
      <c r="E3" s="31" t="s">
        <v>7</v>
      </c>
    </row>
    <row r="4" spans="2:12" ht="15.75" x14ac:dyDescent="0.25">
      <c r="C4" s="9" t="s">
        <v>19</v>
      </c>
      <c r="D4" s="8">
        <v>85</v>
      </c>
      <c r="E4" s="10" t="str">
        <f>IF($D4&gt;=90,"A",IF($D4&gt;=75,"B",IF($D4&gt;=50,"C")))</f>
        <v>B</v>
      </c>
      <c r="G4" s="32" t="s">
        <v>24</v>
      </c>
      <c r="H4" s="33"/>
      <c r="I4" s="33"/>
      <c r="J4" s="33"/>
      <c r="K4" s="33"/>
      <c r="L4" s="34"/>
    </row>
    <row r="5" spans="2:12" ht="15.75" x14ac:dyDescent="0.25">
      <c r="C5" s="9" t="s">
        <v>20</v>
      </c>
      <c r="D5" s="8">
        <v>96</v>
      </c>
      <c r="E5" s="10" t="str">
        <f t="shared" ref="E5:E8" si="0">IF($D5&gt;=90,"A",IF($D5&gt;=75,"B",IF($D5&gt;=50,"C")))</f>
        <v>A</v>
      </c>
    </row>
    <row r="6" spans="2:12" ht="15.75" x14ac:dyDescent="0.25">
      <c r="C6" s="9" t="s">
        <v>21</v>
      </c>
      <c r="D6" s="8">
        <v>57</v>
      </c>
      <c r="E6" s="10" t="str">
        <f t="shared" si="0"/>
        <v>C</v>
      </c>
    </row>
    <row r="7" spans="2:12" ht="15.75" x14ac:dyDescent="0.25">
      <c r="C7" s="9" t="s">
        <v>22</v>
      </c>
      <c r="D7" s="8">
        <v>92</v>
      </c>
      <c r="E7" s="10" t="str">
        <f t="shared" si="0"/>
        <v>A</v>
      </c>
    </row>
    <row r="8" spans="2:12" ht="15.75" x14ac:dyDescent="0.25">
      <c r="C8" s="14" t="s">
        <v>23</v>
      </c>
      <c r="D8" s="15">
        <v>75</v>
      </c>
      <c r="E8" s="16" t="str">
        <f t="shared" si="0"/>
        <v>B</v>
      </c>
    </row>
  </sheetData>
  <mergeCells count="2">
    <mergeCell ref="B1:L1"/>
    <mergeCell ref="G4:L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360A-1101-4950-8185-86D307DA2DA5}">
  <dimension ref="B1:L15"/>
  <sheetViews>
    <sheetView workbookViewId="0">
      <selection activeCell="M6" sqref="M6"/>
    </sheetView>
  </sheetViews>
  <sheetFormatPr defaultRowHeight="15" x14ac:dyDescent="0.25"/>
  <cols>
    <col min="3" max="3" width="11.42578125" bestFit="1" customWidth="1"/>
    <col min="4" max="4" width="9.85546875" customWidth="1"/>
    <col min="5" max="5" width="17" customWidth="1"/>
    <col min="7" max="7" width="8.5703125" bestFit="1" customWidth="1"/>
    <col min="8" max="8" width="12.85546875" bestFit="1" customWidth="1"/>
  </cols>
  <sheetData>
    <row r="1" spans="2:12" ht="15.75" x14ac:dyDescent="0.25">
      <c r="B1" s="35" t="s">
        <v>25</v>
      </c>
      <c r="C1" s="36"/>
      <c r="D1" s="36"/>
      <c r="E1" s="36"/>
      <c r="F1" s="36"/>
      <c r="G1" s="36"/>
      <c r="H1" s="36"/>
      <c r="I1" s="36"/>
      <c r="J1" s="36"/>
      <c r="K1" s="36"/>
      <c r="L1" s="37"/>
    </row>
    <row r="3" spans="2:12" ht="15.75" x14ac:dyDescent="0.25">
      <c r="C3" s="11" t="s">
        <v>26</v>
      </c>
      <c r="D3" s="12" t="s">
        <v>27</v>
      </c>
      <c r="E3" s="13" t="s">
        <v>28</v>
      </c>
      <c r="G3" s="7" t="s">
        <v>26</v>
      </c>
      <c r="H3" s="7" t="s">
        <v>28</v>
      </c>
    </row>
    <row r="4" spans="2:12" ht="15.75" x14ac:dyDescent="0.25">
      <c r="C4" s="9" t="s">
        <v>29</v>
      </c>
      <c r="D4" s="8" t="s">
        <v>4</v>
      </c>
      <c r="E4" s="10" t="s">
        <v>30</v>
      </c>
      <c r="G4" s="38" t="s">
        <v>33</v>
      </c>
      <c r="H4" s="38" t="str">
        <f>VLOOKUP(G4,$C$3:$E$7,3,FALSE)</f>
        <v>Finance</v>
      </c>
    </row>
    <row r="5" spans="2:12" ht="15.75" x14ac:dyDescent="0.25">
      <c r="C5" s="9" t="s">
        <v>31</v>
      </c>
      <c r="D5" s="8" t="s">
        <v>2</v>
      </c>
      <c r="E5" s="10" t="s">
        <v>32</v>
      </c>
    </row>
    <row r="6" spans="2:12" ht="15.75" x14ac:dyDescent="0.25">
      <c r="C6" s="9" t="s">
        <v>33</v>
      </c>
      <c r="D6" s="8" t="s">
        <v>34</v>
      </c>
      <c r="E6" s="10" t="s">
        <v>35</v>
      </c>
    </row>
    <row r="7" spans="2:12" ht="15.75" x14ac:dyDescent="0.25">
      <c r="C7" s="14" t="s">
        <v>36</v>
      </c>
      <c r="D7" s="15" t="s">
        <v>37</v>
      </c>
      <c r="E7" s="16" t="s">
        <v>11</v>
      </c>
    </row>
    <row r="9" spans="2:12" ht="15.75" x14ac:dyDescent="0.25">
      <c r="F9" s="39" t="s">
        <v>67</v>
      </c>
      <c r="G9" s="39"/>
      <c r="H9" s="39"/>
      <c r="I9" s="39"/>
      <c r="J9" s="39"/>
    </row>
    <row r="11" spans="2:12" ht="15.75" x14ac:dyDescent="0.25">
      <c r="C11" s="41" t="s">
        <v>38</v>
      </c>
      <c r="D11" s="42" t="s">
        <v>62</v>
      </c>
      <c r="E11" s="43"/>
      <c r="F11" s="43"/>
      <c r="G11" s="43"/>
      <c r="H11" s="43"/>
      <c r="I11" s="44"/>
    </row>
    <row r="12" spans="2:12" ht="15.75" x14ac:dyDescent="0.25">
      <c r="D12" s="45" t="s">
        <v>63</v>
      </c>
      <c r="E12" s="46"/>
      <c r="F12" s="46"/>
      <c r="G12" s="46"/>
      <c r="H12" s="46"/>
      <c r="I12" s="47"/>
    </row>
    <row r="13" spans="2:12" ht="15.75" x14ac:dyDescent="0.25">
      <c r="D13" s="45" t="s">
        <v>64</v>
      </c>
      <c r="E13" s="46"/>
      <c r="F13" s="46"/>
      <c r="G13" s="46"/>
      <c r="H13" s="46"/>
      <c r="I13" s="47"/>
    </row>
    <row r="14" spans="2:12" ht="17.25" x14ac:dyDescent="0.25">
      <c r="D14" s="48" t="s">
        <v>65</v>
      </c>
      <c r="E14" s="49"/>
      <c r="F14" s="49"/>
      <c r="G14" s="49"/>
      <c r="H14" s="49"/>
      <c r="I14" s="50"/>
    </row>
    <row r="15" spans="2:12" ht="17.25" x14ac:dyDescent="0.3">
      <c r="D15" s="51" t="s">
        <v>66</v>
      </c>
      <c r="E15" s="52"/>
      <c r="F15" s="52"/>
      <c r="G15" s="52"/>
      <c r="H15" s="52"/>
      <c r="I15" s="53"/>
    </row>
  </sheetData>
  <mergeCells count="7">
    <mergeCell ref="D15:I15"/>
    <mergeCell ref="F9:J9"/>
    <mergeCell ref="B1:L1"/>
    <mergeCell ref="D11:I11"/>
    <mergeCell ref="D12:I12"/>
    <mergeCell ref="D13:I13"/>
    <mergeCell ref="D14:I14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525D-D365-4B08-862C-A31DE05354EA}">
  <dimension ref="B1:H15"/>
  <sheetViews>
    <sheetView workbookViewId="0">
      <selection activeCell="I3" sqref="I3"/>
    </sheetView>
  </sheetViews>
  <sheetFormatPr defaultRowHeight="15" x14ac:dyDescent="0.25"/>
  <cols>
    <col min="3" max="3" width="15.7109375" customWidth="1"/>
    <col min="4" max="4" width="18.85546875" customWidth="1"/>
    <col min="5" max="5" width="35.85546875" customWidth="1"/>
  </cols>
  <sheetData>
    <row r="1" spans="2:8" ht="15.75" x14ac:dyDescent="0.25">
      <c r="B1" s="54" t="s">
        <v>39</v>
      </c>
      <c r="C1" s="55"/>
      <c r="D1" s="55"/>
      <c r="E1" s="55"/>
      <c r="F1" s="55"/>
      <c r="G1" s="56"/>
    </row>
    <row r="3" spans="2:8" ht="26.25" x14ac:dyDescent="0.25">
      <c r="C3" s="59" t="s">
        <v>40</v>
      </c>
      <c r="D3" s="60" t="s">
        <v>41</v>
      </c>
    </row>
    <row r="4" spans="2:8" x14ac:dyDescent="0.25">
      <c r="C4" s="57">
        <v>0</v>
      </c>
      <c r="D4" s="58">
        <v>0.05</v>
      </c>
    </row>
    <row r="5" spans="2:8" x14ac:dyDescent="0.25">
      <c r="C5" s="57">
        <v>20000</v>
      </c>
      <c r="D5" s="58">
        <v>0.1</v>
      </c>
    </row>
    <row r="6" spans="2:8" x14ac:dyDescent="0.25">
      <c r="C6" s="57">
        <v>50000</v>
      </c>
      <c r="D6" s="58">
        <v>0.15</v>
      </c>
    </row>
    <row r="7" spans="2:8" x14ac:dyDescent="0.25">
      <c r="C7" s="61">
        <v>80000</v>
      </c>
      <c r="D7" s="62">
        <v>0.2</v>
      </c>
    </row>
    <row r="9" spans="2:8" x14ac:dyDescent="0.25">
      <c r="B9" s="67" t="s">
        <v>42</v>
      </c>
      <c r="C9" s="67"/>
      <c r="D9" s="67"/>
      <c r="E9" s="67"/>
      <c r="F9" s="67"/>
      <c r="G9" s="67"/>
      <c r="H9" s="67"/>
    </row>
    <row r="11" spans="2:8" x14ac:dyDescent="0.25">
      <c r="C11" s="59" t="s">
        <v>40</v>
      </c>
      <c r="D11" s="64" t="s">
        <v>41</v>
      </c>
      <c r="E11" s="19" t="s">
        <v>43</v>
      </c>
      <c r="G11" s="63">
        <v>45000</v>
      </c>
    </row>
    <row r="12" spans="2:8" x14ac:dyDescent="0.25">
      <c r="C12" s="57">
        <v>0</v>
      </c>
      <c r="D12" s="6">
        <v>0.05</v>
      </c>
      <c r="E12" s="65">
        <f>VLOOKUP(G11,$C$11:$D$15,2,TRUE)</f>
        <v>0.1</v>
      </c>
    </row>
    <row r="13" spans="2:8" x14ac:dyDescent="0.25">
      <c r="C13" s="57">
        <v>20000</v>
      </c>
      <c r="D13" s="6">
        <v>0.1</v>
      </c>
      <c r="E13" s="40"/>
    </row>
    <row r="14" spans="2:8" x14ac:dyDescent="0.25">
      <c r="C14" s="57">
        <v>50000</v>
      </c>
      <c r="D14" s="6">
        <v>0.15</v>
      </c>
      <c r="E14" s="40"/>
    </row>
    <row r="15" spans="2:8" x14ac:dyDescent="0.25">
      <c r="C15" s="61">
        <v>80000</v>
      </c>
      <c r="D15" s="66">
        <v>0.2</v>
      </c>
      <c r="E15" s="17"/>
    </row>
  </sheetData>
  <mergeCells count="2">
    <mergeCell ref="B1:G1"/>
    <mergeCell ref="B9:H9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CD8F-F41C-4017-A2CF-250F56929016}">
  <dimension ref="B1:J15"/>
  <sheetViews>
    <sheetView workbookViewId="0">
      <selection activeCell="K7" sqref="K7"/>
    </sheetView>
  </sheetViews>
  <sheetFormatPr defaultRowHeight="15" x14ac:dyDescent="0.25"/>
  <cols>
    <col min="3" max="3" width="17.7109375" customWidth="1"/>
    <col min="4" max="4" width="14.85546875" customWidth="1"/>
    <col min="5" max="5" width="17" customWidth="1"/>
  </cols>
  <sheetData>
    <row r="1" spans="2:10" ht="15.75" x14ac:dyDescent="0.25">
      <c r="B1" s="68" t="s">
        <v>44</v>
      </c>
      <c r="C1" s="68"/>
      <c r="D1" s="68"/>
      <c r="E1" s="68"/>
      <c r="F1" s="68"/>
      <c r="G1" s="68"/>
      <c r="H1" s="68"/>
      <c r="I1" s="68"/>
      <c r="J1" s="68"/>
    </row>
    <row r="3" spans="2:10" x14ac:dyDescent="0.25">
      <c r="C3" s="69" t="s">
        <v>45</v>
      </c>
      <c r="D3" s="70" t="s">
        <v>46</v>
      </c>
      <c r="E3" s="71" t="s">
        <v>47</v>
      </c>
    </row>
    <row r="4" spans="2:10" x14ac:dyDescent="0.25">
      <c r="C4" s="28" t="s">
        <v>48</v>
      </c>
      <c r="D4" s="4">
        <v>10</v>
      </c>
      <c r="E4" s="40">
        <v>12</v>
      </c>
    </row>
    <row r="5" spans="2:10" x14ac:dyDescent="0.25">
      <c r="C5" s="28" t="s">
        <v>49</v>
      </c>
      <c r="D5" s="4">
        <v>10</v>
      </c>
      <c r="E5" s="40">
        <v>15</v>
      </c>
    </row>
    <row r="6" spans="2:10" x14ac:dyDescent="0.25">
      <c r="C6" s="18" t="s">
        <v>50</v>
      </c>
      <c r="D6" s="72">
        <v>8</v>
      </c>
      <c r="E6" s="17">
        <v>12</v>
      </c>
    </row>
    <row r="8" spans="2:10" x14ac:dyDescent="0.25">
      <c r="C8" s="74" t="s">
        <v>51</v>
      </c>
      <c r="D8" s="75"/>
      <c r="E8" s="75"/>
      <c r="F8" s="75"/>
      <c r="G8" s="75"/>
      <c r="H8" s="75"/>
      <c r="I8" s="76"/>
    </row>
    <row r="9" spans="2:10" x14ac:dyDescent="0.25">
      <c r="C9" s="77" t="s">
        <v>52</v>
      </c>
      <c r="D9" s="78"/>
      <c r="E9" s="78"/>
      <c r="F9" s="78"/>
      <c r="G9" s="78"/>
      <c r="H9" s="78"/>
      <c r="I9" s="79"/>
    </row>
    <row r="10" spans="2:10" x14ac:dyDescent="0.25">
      <c r="C10" s="80" t="s">
        <v>53</v>
      </c>
      <c r="D10" s="81"/>
      <c r="E10" s="81"/>
      <c r="F10" s="81"/>
      <c r="G10" s="81"/>
      <c r="H10" s="81"/>
      <c r="I10" s="82"/>
    </row>
    <row r="12" spans="2:10" x14ac:dyDescent="0.25">
      <c r="C12" s="69" t="s">
        <v>45</v>
      </c>
      <c r="D12" s="70" t="s">
        <v>46</v>
      </c>
      <c r="E12" s="70" t="s">
        <v>47</v>
      </c>
      <c r="F12" s="73" t="s">
        <v>54</v>
      </c>
    </row>
    <row r="13" spans="2:10" x14ac:dyDescent="0.25">
      <c r="C13" s="28" t="s">
        <v>48</v>
      </c>
      <c r="D13" s="4">
        <v>10</v>
      </c>
      <c r="E13" s="4">
        <v>12</v>
      </c>
      <c r="F13" s="40" t="str">
        <f>IF($D13&gt;$E13,"Exceeded","OK")</f>
        <v>OK</v>
      </c>
    </row>
    <row r="14" spans="2:10" x14ac:dyDescent="0.25">
      <c r="C14" s="28" t="s">
        <v>49</v>
      </c>
      <c r="D14" s="4">
        <v>10</v>
      </c>
      <c r="E14" s="4">
        <v>15</v>
      </c>
      <c r="F14" s="40" t="str">
        <f t="shared" ref="F14:F15" si="0">IF($D14&gt;$E14,"Exceeded","OK")</f>
        <v>OK</v>
      </c>
    </row>
    <row r="15" spans="2:10" x14ac:dyDescent="0.25">
      <c r="C15" s="18" t="s">
        <v>50</v>
      </c>
      <c r="D15" s="72">
        <v>8</v>
      </c>
      <c r="E15" s="72">
        <v>12</v>
      </c>
      <c r="F15" s="17" t="str">
        <f t="shared" si="0"/>
        <v>OK</v>
      </c>
    </row>
  </sheetData>
  <mergeCells count="4">
    <mergeCell ref="B1:J1"/>
    <mergeCell ref="C8:I8"/>
    <mergeCell ref="C9:I9"/>
    <mergeCell ref="C10:I10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E2DE-A041-4452-958B-E48CB780DC56}">
  <dimension ref="B1:H7"/>
  <sheetViews>
    <sheetView workbookViewId="0">
      <selection activeCell="J10" sqref="J10"/>
    </sheetView>
  </sheetViews>
  <sheetFormatPr defaultRowHeight="15" x14ac:dyDescent="0.25"/>
  <sheetData>
    <row r="1" spans="2:8" x14ac:dyDescent="0.25">
      <c r="B1" s="83" t="s">
        <v>55</v>
      </c>
      <c r="C1" s="83"/>
      <c r="D1" s="83"/>
      <c r="E1" s="83"/>
      <c r="F1" s="83"/>
      <c r="G1" s="83"/>
      <c r="H1" s="83"/>
    </row>
    <row r="3" spans="2:8" x14ac:dyDescent="0.25">
      <c r="C3" s="69" t="s">
        <v>26</v>
      </c>
      <c r="D3" s="71" t="s">
        <v>56</v>
      </c>
      <c r="F3" t="s">
        <v>26</v>
      </c>
      <c r="G3" t="s">
        <v>56</v>
      </c>
    </row>
    <row r="4" spans="2:8" x14ac:dyDescent="0.25">
      <c r="C4" s="28" t="s">
        <v>36</v>
      </c>
      <c r="D4" s="40">
        <v>55000</v>
      </c>
      <c r="F4" t="s">
        <v>57</v>
      </c>
      <c r="G4">
        <f>INDEX(D4:D7,MATCH(F4,C4:C7,0))</f>
        <v>72000</v>
      </c>
    </row>
    <row r="5" spans="2:8" x14ac:dyDescent="0.25">
      <c r="C5" s="28" t="s">
        <v>57</v>
      </c>
      <c r="D5" s="40">
        <v>72000</v>
      </c>
    </row>
    <row r="6" spans="2:8" x14ac:dyDescent="0.25">
      <c r="C6" s="28" t="s">
        <v>58</v>
      </c>
      <c r="D6" s="40">
        <v>62000</v>
      </c>
    </row>
    <row r="7" spans="2:8" x14ac:dyDescent="0.25">
      <c r="C7" s="18" t="s">
        <v>31</v>
      </c>
      <c r="D7" s="17">
        <v>41000</v>
      </c>
    </row>
  </sheetData>
  <mergeCells count="1">
    <mergeCell ref="B1:H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4B46-F736-425B-9FC0-828249583152}">
  <dimension ref="B1:K7"/>
  <sheetViews>
    <sheetView workbookViewId="0">
      <selection activeCell="J6" sqref="J6"/>
    </sheetView>
  </sheetViews>
  <sheetFormatPr defaultRowHeight="15" x14ac:dyDescent="0.25"/>
  <cols>
    <col min="3" max="3" width="8.85546875" customWidth="1"/>
    <col min="4" max="4" width="13.85546875" customWidth="1"/>
    <col min="7" max="7" width="11.7109375" bestFit="1" customWidth="1"/>
  </cols>
  <sheetData>
    <row r="1" spans="2:11" x14ac:dyDescent="0.25">
      <c r="B1" s="83" t="s">
        <v>59</v>
      </c>
      <c r="C1" s="83"/>
      <c r="D1" s="83"/>
      <c r="E1" s="83"/>
      <c r="F1" s="83"/>
      <c r="G1" s="83"/>
      <c r="H1" s="83"/>
      <c r="I1" s="83"/>
      <c r="J1" s="83"/>
      <c r="K1" s="83"/>
    </row>
    <row r="3" spans="2:11" x14ac:dyDescent="0.25">
      <c r="C3" s="69" t="s">
        <v>26</v>
      </c>
      <c r="D3" s="71" t="s">
        <v>28</v>
      </c>
      <c r="F3" s="5" t="s">
        <v>26</v>
      </c>
      <c r="G3" s="5" t="s">
        <v>28</v>
      </c>
    </row>
    <row r="4" spans="2:11" x14ac:dyDescent="0.25">
      <c r="C4" s="28" t="s">
        <v>29</v>
      </c>
      <c r="D4" s="40" t="s">
        <v>32</v>
      </c>
      <c r="F4" s="84" t="s">
        <v>60</v>
      </c>
      <c r="G4" s="84" t="str">
        <f>VLOOKUP(F4,$C$3:$D$7,2,FALSE)</f>
        <v>IT</v>
      </c>
    </row>
    <row r="5" spans="2:11" x14ac:dyDescent="0.25">
      <c r="C5" s="28" t="s">
        <v>60</v>
      </c>
      <c r="D5" s="40" t="s">
        <v>30</v>
      </c>
    </row>
    <row r="6" spans="2:11" x14ac:dyDescent="0.25">
      <c r="C6" s="28" t="s">
        <v>58</v>
      </c>
      <c r="D6" s="40" t="s">
        <v>11</v>
      </c>
    </row>
    <row r="7" spans="2:11" x14ac:dyDescent="0.25">
      <c r="C7" s="18" t="s">
        <v>61</v>
      </c>
      <c r="D7" s="17" t="s">
        <v>35</v>
      </c>
    </row>
  </sheetData>
  <mergeCells count="1">
    <mergeCell ref="B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Q.No.1</vt:lpstr>
      <vt:lpstr>Q.No.2 </vt:lpstr>
      <vt:lpstr>Q.No.3 </vt:lpstr>
      <vt:lpstr>Q.No.4</vt:lpstr>
      <vt:lpstr>Q.No.5</vt:lpstr>
      <vt:lpstr>Q.No.6</vt:lpstr>
      <vt:lpstr>Q.No.7</vt:lpstr>
      <vt:lpstr>Q.No.8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Ansari</dc:creator>
  <cp:lastModifiedBy>Muzammil Ansari</cp:lastModifiedBy>
  <dcterms:created xsi:type="dcterms:W3CDTF">2025-12-23T04:37:33Z</dcterms:created>
  <dcterms:modified xsi:type="dcterms:W3CDTF">2025-12-23T06:00:56Z</dcterms:modified>
</cp:coreProperties>
</file>