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901BCFD2-4DF7-4D16-9938-DE7785810909}" xr6:coauthVersionLast="47" xr6:coauthVersionMax="47" xr10:uidLastSave="{00000000-0000-0000-0000-000000000000}"/>
  <bookViews>
    <workbookView xWindow="-120" yWindow="-120" windowWidth="20730" windowHeight="11160" tabRatio="597" activeTab="7" xr2:uid="{CB9CD9FE-73FD-43E8-85EE-BF65DAD4DBF7}"/>
  </bookViews>
  <sheets>
    <sheet name="Q.No.1" sheetId="1" r:id="rId1"/>
    <sheet name="Q.No.2" sheetId="2" r:id="rId2"/>
    <sheet name="Q.N0.3" sheetId="3" r:id="rId3"/>
    <sheet name="Q.No.4" sheetId="4" r:id="rId4"/>
    <sheet name="Q.No.5" sheetId="5" r:id="rId5"/>
    <sheet name="Q.No.6" sheetId="6" r:id="rId6"/>
    <sheet name="Q.No.7" sheetId="7" r:id="rId7"/>
    <sheet name="Q.No.8" sheetId="8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7" i="8" l="1"/>
  <c r="D13" i="8"/>
  <c r="E32" i="7"/>
  <c r="E33" i="7"/>
  <c r="E31" i="7"/>
  <c r="H25" i="7"/>
  <c r="E20" i="7"/>
  <c r="F12" i="7"/>
  <c r="E7" i="7"/>
  <c r="D27" i="6"/>
  <c r="D22" i="6"/>
  <c r="D17" i="6"/>
  <c r="D12" i="6"/>
  <c r="D7" i="6"/>
  <c r="C7" i="4"/>
  <c r="F27" i="3"/>
  <c r="D22" i="3"/>
  <c r="D17" i="3"/>
  <c r="D12" i="3"/>
  <c r="D7" i="3"/>
</calcChain>
</file>

<file path=xl/sharedStrings.xml><?xml version="1.0" encoding="utf-8"?>
<sst xmlns="http://schemas.openxmlformats.org/spreadsheetml/2006/main" count="242" uniqueCount="164">
  <si>
    <t>Answer - Data cleaning means fixing the data before using it. It includes removing wrong data, filling missing values, correcting mistakes, and making the data neat and organized.</t>
  </si>
  <si>
    <t>Data cleaning is important because:</t>
  </si>
  <si>
    <t>#  It avoids confusion and mistakes</t>
  </si>
  <si>
    <t>#  It makes charts, reports, and analysis more accurate</t>
  </si>
  <si>
    <t>#  If data is not clean, the final result will also be wrong.</t>
  </si>
  <si>
    <t>#  It saves time during analysis</t>
  </si>
  <si>
    <t>What are the potential consequences of analyzing unclean or messy data?</t>
  </si>
  <si>
    <t>Answer - Analyzing unclean or messy data can lead to several serious problems, such as:</t>
  </si>
  <si>
    <t>#  Poor decision-making, which can negatively impact business or research outcomes.</t>
  </si>
  <si>
    <t>#  Misleading trends and patterns, causing wrong interpretations.</t>
  </si>
  <si>
    <t>#  Increased processing time and errors during analysis.</t>
  </si>
  <si>
    <t>#  Financial losses in business environments due to faulty data-driven decisions.</t>
  </si>
  <si>
    <t>#   Loss of credibility when reports or insights are proven inaccurate.</t>
  </si>
  <si>
    <t>Explain the common steps involved in cleaning and organizing data.</t>
  </si>
  <si>
    <t>Common steps of cleaning and organizing data</t>
  </si>
  <si>
    <t>1. Check the data - First, look at the data and understand what is wrong or missing.</t>
  </si>
  <si>
    <t>2. Remove empty values - Fill missing data or delete rows that have no useful information.</t>
  </si>
  <si>
    <t>3. Remove duplicate data - Delete repeated rows so the same data is not counted twice.</t>
  </si>
  <si>
    <t>4. Fix mistakes - Correct spelling errors, wrong numbers, and incorrect entries.</t>
  </si>
  <si>
    <t>5. Make formats same - Keep date, text, and numbers in the same format (for example: all dates in one style).</t>
  </si>
  <si>
    <t>6. Arrange the data - Organize data into proper rows and columns with clear headings.</t>
  </si>
  <si>
    <t>7. Final check - Review the data once again to make sure everything is correct.</t>
  </si>
  <si>
    <t>Q.No.1- What is data cleaning, and why is it important in data analysis?</t>
  </si>
  <si>
    <t>Employee</t>
  </si>
  <si>
    <t>Department</t>
  </si>
  <si>
    <t>Sonu</t>
  </si>
  <si>
    <t>Pranav</t>
  </si>
  <si>
    <t>Rahul</t>
  </si>
  <si>
    <t>HR</t>
  </si>
  <si>
    <t>IT</t>
  </si>
  <si>
    <t>Salary</t>
  </si>
  <si>
    <t>Q.No.2 How would you sort the following dataset first by "Department" (A-Z) and then by "Salary" (Largest to Smallest)? Write a step-by-step approach.</t>
  </si>
  <si>
    <t>Answer - Step-by-step approach to sort the data</t>
  </si>
  <si>
    <t>We want to First sort by Department (A–Z) Then sort by Salary (Largest to Smallest)</t>
  </si>
  <si>
    <t>Step 1:- Select the entire table including headings (Employee, Department, Salary)</t>
  </si>
  <si>
    <t>Step 2:- Go to the Data tab in Excel and Click on Sort</t>
  </si>
  <si>
    <t>Step 3:- Set the first sorting level (Department) In Sort by, choose Department and In Order, choose A to Z</t>
  </si>
  <si>
    <t>Step 4:- Add second sorting level (Salary) Click on Add Level In Then by, choose Salary and In Order, choose Largest to Smallest</t>
  </si>
  <si>
    <t>Step 5:- Apply the sort Click OK</t>
  </si>
  <si>
    <t>Final sorted result after sorting, the data will look like this:</t>
  </si>
  <si>
    <t>#  Clean data gives correct results</t>
  </si>
  <si>
    <t>#  It helps us make better decisions</t>
  </si>
  <si>
    <t>#  Incorrect results and conclusions due to wrong or missing values.</t>
  </si>
  <si>
    <t>Q.No.3 - Explain the use of text functions such as TRIM , LEFT, RIGHT, MID, and CONCAT in data cleaning.</t>
  </si>
  <si>
    <t xml:space="preserve">TRIM </t>
  </si>
  <si>
    <t xml:space="preserve">Example </t>
  </si>
  <si>
    <t xml:space="preserve">   Amit  Singh  </t>
  </si>
  <si>
    <t>Result</t>
  </si>
  <si>
    <t>LEFT</t>
  </si>
  <si>
    <t>Example</t>
  </si>
  <si>
    <r>
      <rPr>
        <b/>
        <sz val="12"/>
        <color theme="1"/>
        <rFont val="Calibri"/>
        <family val="2"/>
        <scheme val="minor"/>
      </rPr>
      <t>Use:</t>
    </r>
    <r>
      <rPr>
        <sz val="12"/>
        <color theme="1"/>
        <rFont val="Calibri"/>
        <family val="2"/>
        <scheme val="minor"/>
      </rPr>
      <t xml:space="preserve"> Removes extra spaces from text. </t>
    </r>
  </si>
  <si>
    <r>
      <t>Use:</t>
    </r>
    <r>
      <rPr>
        <sz val="12"/>
        <color theme="1"/>
        <rFont val="Calibri"/>
        <family val="2"/>
        <scheme val="minor"/>
      </rPr>
      <t xml:space="preserve"> Extracts text from the left side of a cell.</t>
    </r>
  </si>
  <si>
    <t>RIGHT</t>
  </si>
  <si>
    <r>
      <t xml:space="preserve">          </t>
    </r>
    <r>
      <rPr>
        <b/>
        <sz val="12"/>
        <color theme="1"/>
        <rFont val="Calibri"/>
        <family val="2"/>
        <scheme val="minor"/>
      </rPr>
      <t>#</t>
    </r>
    <r>
      <rPr>
        <sz val="12"/>
        <color theme="1"/>
        <rFont val="Calibri"/>
        <family val="2"/>
        <scheme val="minor"/>
      </rPr>
      <t xml:space="preserve"> Helpful when you need only the first few letters or characters.</t>
    </r>
  </si>
  <si>
    <r>
      <t xml:space="preserve">        </t>
    </r>
    <r>
      <rPr>
        <b/>
        <sz val="12"/>
        <color theme="1"/>
        <rFont val="Calibri"/>
        <family val="2"/>
        <scheme val="minor"/>
      </rPr>
      <t>#</t>
    </r>
    <r>
      <rPr>
        <sz val="12"/>
        <color theme="1"/>
        <rFont val="Calibri"/>
        <family val="2"/>
        <scheme val="minor"/>
      </rPr>
      <t xml:space="preserve"> Used to get ending characters like codes or last digits.</t>
    </r>
  </si>
  <si>
    <r>
      <t>Use:</t>
    </r>
    <r>
      <rPr>
        <sz val="12"/>
        <color theme="1"/>
        <rFont val="Calibri"/>
        <family val="2"/>
        <scheme val="minor"/>
      </rPr>
      <t xml:space="preserve"> Extracts text from the right side of a cell.</t>
    </r>
  </si>
  <si>
    <t>MTA1234</t>
  </si>
  <si>
    <t>1234MTA</t>
  </si>
  <si>
    <t>MID</t>
  </si>
  <si>
    <r>
      <t xml:space="preserve">Use: </t>
    </r>
    <r>
      <rPr>
        <sz val="12"/>
        <color theme="1"/>
        <rFont val="Calibri"/>
        <family val="2"/>
        <scheme val="minor"/>
      </rPr>
      <t>Extracts text from the middle of a cell.</t>
    </r>
  </si>
  <si>
    <t xml:space="preserve">        # Useful when important data is in between text.</t>
  </si>
  <si>
    <t>1234MTA18,4</t>
  </si>
  <si>
    <r>
      <t xml:space="preserve">        </t>
    </r>
    <r>
      <rPr>
        <b/>
        <sz val="12"/>
        <color theme="1"/>
        <rFont val="Calibri"/>
        <family val="2"/>
        <scheme val="minor"/>
      </rPr>
      <t>#</t>
    </r>
    <r>
      <rPr>
        <sz val="12"/>
        <color theme="1"/>
        <rFont val="Calibri"/>
        <family val="2"/>
        <scheme val="minor"/>
      </rPr>
      <t xml:space="preserve">  It deletes spaces at the beginning, end, and extra spaces in between words. Useful when data comes from forms or websites and has unwanted spaces.</t>
    </r>
  </si>
  <si>
    <t>CONCAT</t>
  </si>
  <si>
    <t xml:space="preserve">       #  Used when text is split into different columns and needs to be combined.</t>
  </si>
  <si>
    <r>
      <t>Use:</t>
    </r>
    <r>
      <rPr>
        <sz val="12"/>
        <color theme="1"/>
        <rFont val="Calibri"/>
        <family val="2"/>
        <scheme val="minor"/>
      </rPr>
      <t xml:space="preserve"> Joins two or more text values into one.</t>
    </r>
  </si>
  <si>
    <t xml:space="preserve">First Name </t>
  </si>
  <si>
    <t xml:space="preserve">Last Name </t>
  </si>
  <si>
    <t xml:space="preserve">Full Name </t>
  </si>
  <si>
    <t xml:space="preserve">Muskan </t>
  </si>
  <si>
    <t>Singh</t>
  </si>
  <si>
    <t>Q,No.4 - What is the role of date functions like TODAY in managing datasets?</t>
  </si>
  <si>
    <t>Answer - Date functions help us work with dates easily in data.</t>
  </si>
  <si>
    <t xml:space="preserve">               # The TODAY() function shows today’s current date automatically.
It changes by itself every day, so we don’t need to update it.</t>
  </si>
  <si>
    <t>Q.No.6 -  Understand and apply fundamental text functions like LEFT, RIGHT, MID, and LEN.</t>
  </si>
  <si>
    <t>1. Extract the first 5 characters from the string "ExcelTipsAreGreat" using the LEFT function.</t>
  </si>
  <si>
    <t>ExcelTipsAreGreat</t>
  </si>
  <si>
    <t>Qeustion</t>
  </si>
  <si>
    <t xml:space="preserve">Result </t>
  </si>
  <si>
    <t>2. Extract the last 4 characters from "DataAnalysis.xlsx" using the RIGHT function.</t>
  </si>
  <si>
    <t>DataAnalysis.xlsx</t>
  </si>
  <si>
    <t>3. Extract the substring "Tips" from "ExcelTipsAreGreat" using the MID function</t>
  </si>
  <si>
    <t>4. Count the total number of characters in the string "Hello World!" using the LEN function.</t>
  </si>
  <si>
    <t>Hello World!</t>
  </si>
  <si>
    <t>5. Create a formula to extract the middle 6 characters from "12345-67890-ABCDE".</t>
  </si>
  <si>
    <t>12345-67890-ABCDE</t>
  </si>
  <si>
    <t>Q.No.7 - Understand how to combine text using CONCAT, TEXTJOIN, and the &amp; operator.</t>
  </si>
  <si>
    <t>A. Use CONCAT to combine "Hello" and "World" with a space in between.</t>
  </si>
  <si>
    <t xml:space="preserve">Fisrt Name </t>
  </si>
  <si>
    <t xml:space="preserve">Second Name </t>
  </si>
  <si>
    <t>Hello</t>
  </si>
  <si>
    <t>World</t>
  </si>
  <si>
    <t>B. Combine "Apple", "Banana", and "Cherry" into a single string separated by commas using TEXTJOIN.</t>
  </si>
  <si>
    <t>A</t>
  </si>
  <si>
    <t>Item A</t>
  </si>
  <si>
    <t>Item B</t>
  </si>
  <si>
    <t>Item C</t>
  </si>
  <si>
    <t>Apple</t>
  </si>
  <si>
    <t>Banana</t>
  </si>
  <si>
    <t>Cherry</t>
  </si>
  <si>
    <t>C. Use the &amp; operator to create the string "2025: Excel Functions" by combining "2025", ": ", and "Excel
Functions".</t>
  </si>
  <si>
    <t>Cell</t>
  </si>
  <si>
    <t>Value</t>
  </si>
  <si>
    <t>A1</t>
  </si>
  <si>
    <t>B1</t>
  </si>
  <si>
    <t>C1</t>
  </si>
  <si>
    <t>:</t>
  </si>
  <si>
    <t>Excel Functions</t>
  </si>
  <si>
    <t>D. Create a comma-separated list from the range A1:A5 using TEXTJOIN</t>
  </si>
  <si>
    <t xml:space="preserve">B </t>
  </si>
  <si>
    <t>C</t>
  </si>
  <si>
    <t>D</t>
  </si>
  <si>
    <t>F</t>
  </si>
  <si>
    <t>Mango</t>
  </si>
  <si>
    <t>Orange</t>
  </si>
  <si>
    <t>E. Combine first names in column A with last names in column B to create full names in column C.</t>
  </si>
  <si>
    <t>B</t>
  </si>
  <si>
    <t xml:space="preserve">Maya </t>
  </si>
  <si>
    <t xml:space="preserve">Gupta </t>
  </si>
  <si>
    <t xml:space="preserve">Raj </t>
  </si>
  <si>
    <t xml:space="preserve">Singh </t>
  </si>
  <si>
    <t xml:space="preserve">Deepesh </t>
  </si>
  <si>
    <t xml:space="preserve">Sharma </t>
  </si>
  <si>
    <t>Q.No.8 -  Understanding TODAY() and NOW()</t>
  </si>
  <si>
    <t>A. What is the difference between TODAY() and NOW() in Excel? Provide an example of when you would use each function.</t>
  </si>
  <si>
    <t>TODAY() is used when only the date is required, whereas NOW() is used when both date and time are needed.</t>
  </si>
  <si>
    <t xml:space="preserve">Answer </t>
  </si>
  <si>
    <t>The TODAY() function returns only the current date, while the NOW() function returns both the current date and time.</t>
  </si>
  <si>
    <t>B.  If cell A1 contains the date 2025-06-10, write a formula using TODAY() to determine how many days are left until that date</t>
  </si>
  <si>
    <t>Answer</t>
  </si>
  <si>
    <t>C.  Write an Excel formula using NOW() to display the current date and time in the format MM/DD/YYYY
 HH:M</t>
  </si>
  <si>
    <t>D. If a cell contains =TODAY(), what will happen when the worksheet is reopened the next day? Explain</t>
  </si>
  <si>
    <r>
      <t xml:space="preserve">If a cell contains the formula </t>
    </r>
    <r>
      <rPr>
        <b/>
        <sz val="11"/>
        <color theme="1"/>
        <rFont val="Calibri"/>
        <family val="2"/>
        <scheme val="minor"/>
      </rPr>
      <t>=TODAY()</t>
    </r>
    <r>
      <rPr>
        <sz val="11"/>
        <color theme="1"/>
        <rFont val="Calibri"/>
        <family val="2"/>
        <scheme val="minor"/>
      </rPr>
      <t xml:space="preserve">, the date in that cell will </t>
    </r>
    <r>
      <rPr>
        <b/>
        <sz val="11"/>
        <color theme="1"/>
        <rFont val="Calibri"/>
        <family val="2"/>
        <scheme val="minor"/>
      </rPr>
      <t>change automatically</t>
    </r>
    <r>
      <rPr>
        <sz val="11"/>
        <color theme="1"/>
        <rFont val="Calibri"/>
        <family val="2"/>
        <scheme val="minor"/>
      </rPr>
      <t xml:space="preserve"> when the worksheet is opened the next day.</t>
    </r>
  </si>
  <si>
    <r>
      <t xml:space="preserve">So, the cell will not keep the old date; it will always display the </t>
    </r>
    <r>
      <rPr>
        <b/>
        <sz val="11"/>
        <color theme="1"/>
        <rFont val="Calibri"/>
        <family val="2"/>
        <scheme val="minor"/>
      </rPr>
      <t>present day’s date</t>
    </r>
    <r>
      <rPr>
        <sz val="11"/>
        <color theme="1"/>
        <rFont val="Calibri"/>
        <family val="2"/>
        <scheme val="minor"/>
      </rPr>
      <t>.</t>
    </r>
  </si>
  <si>
    <r>
      <t xml:space="preserve">This happens because the TODAY() function always shows the </t>
    </r>
    <r>
      <rPr>
        <b/>
        <sz val="12"/>
        <color theme="1"/>
        <rFont val="Calibri"/>
        <family val="2"/>
        <scheme val="minor"/>
      </rPr>
      <t>current date</t>
    </r>
    <r>
      <rPr>
        <sz val="12"/>
        <color theme="1"/>
        <rFont val="Calibri"/>
        <family val="2"/>
        <scheme val="minor"/>
      </rPr>
      <t>. Every time the Excel file is opened or refreshed, Excel updates the date.</t>
    </r>
  </si>
  <si>
    <t>E. You want to store a static date (today’s date) in a cell without it changing every day. What keyboard shortcut should used for ?</t>
  </si>
  <si>
    <r>
      <t xml:space="preserve">The keyboard shortcut </t>
    </r>
    <r>
      <rPr>
        <b/>
        <sz val="12"/>
        <color theme="1"/>
        <rFont val="Calibri"/>
        <family val="2"/>
        <scheme val="minor"/>
      </rPr>
      <t>Ctrl + ;</t>
    </r>
    <r>
      <rPr>
        <sz val="12"/>
        <color theme="1"/>
        <rFont val="Calibri"/>
        <family val="2"/>
        <scheme val="minor"/>
      </rPr>
      <t xml:space="preserve"> is used to insert a static date in Excel.</t>
    </r>
  </si>
  <si>
    <t>Q.No.5 - Apply Data Validation to restrict Quantity values to only whole numbers between 1 and 10.</t>
  </si>
  <si>
    <t>Customer Name</t>
  </si>
  <si>
    <t>Product Name</t>
  </si>
  <si>
    <t>Category</t>
  </si>
  <si>
    <t>Quantity</t>
  </si>
  <si>
    <t>Unit Price ($)</t>
  </si>
  <si>
    <t>Jane Smith</t>
  </si>
  <si>
    <t>Shoes</t>
  </si>
  <si>
    <t>Electronics</t>
  </si>
  <si>
    <t>Isabella Moore</t>
  </si>
  <si>
    <t>Laptop</t>
  </si>
  <si>
    <t>Daniel Davis</t>
  </si>
  <si>
    <t>Sofa</t>
  </si>
  <si>
    <t>Clothing</t>
  </si>
  <si>
    <t>Alex Moore</t>
  </si>
  <si>
    <t>Michael Johnson</t>
  </si>
  <si>
    <t>Table Lamp</t>
  </si>
  <si>
    <t>Home Decor</t>
  </si>
  <si>
    <t>Daniel Johnson</t>
  </si>
  <si>
    <t>Backpack</t>
  </si>
  <si>
    <t>Isabella Davis</t>
  </si>
  <si>
    <t>Headphones</t>
  </si>
  <si>
    <t>Jane Davis</t>
  </si>
  <si>
    <t>Alex Wilson</t>
  </si>
  <si>
    <t>T-shirt</t>
  </si>
  <si>
    <t>A. Configure an input message that appears when a user selects a cell in the "Quantity" column explaining: "Please enter a whole number between 1 and 10."</t>
  </si>
  <si>
    <t xml:space="preserve">B. Set up an error alert message that triggers if the user enters a number less than 1 or greater than 10,
showing: "Invalid input! The quantity must be a whole number between 1 and 10."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</si>
</sst>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[$-409]m/d/yy\ h:mm\ AM/PM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7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left"/>
    </xf>
    <xf numFmtId="0" fontId="2" fillId="0" borderId="9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2" xfId="0" applyFont="1" applyBorder="1"/>
    <xf numFmtId="0" fontId="2" fillId="0" borderId="1" xfId="0" applyFont="1" applyBorder="1"/>
    <xf numFmtId="0" fontId="2" fillId="0" borderId="10" xfId="0" applyFont="1" applyBorder="1"/>
    <xf numFmtId="0" fontId="2" fillId="0" borderId="4" xfId="0" applyFont="1" applyBorder="1"/>
    <xf numFmtId="0" fontId="2" fillId="0" borderId="14" xfId="0" applyFont="1" applyBorder="1"/>
    <xf numFmtId="0" fontId="2" fillId="0" borderId="2" xfId="0" applyFont="1" applyBorder="1"/>
    <xf numFmtId="0" fontId="2" fillId="4" borderId="7" xfId="0" applyFont="1" applyFill="1" applyBorder="1" applyAlignment="1">
      <alignment horizontal="left" vertical="center"/>
    </xf>
    <xf numFmtId="0" fontId="2" fillId="4" borderId="8" xfId="0" applyFont="1" applyFill="1" applyBorder="1" applyAlignment="1">
      <alignment horizontal="left" vertical="center"/>
    </xf>
    <xf numFmtId="0" fontId="2" fillId="4" borderId="9" xfId="0" applyFont="1" applyFill="1" applyBorder="1" applyAlignment="1">
      <alignment horizontal="left" vertical="center"/>
    </xf>
    <xf numFmtId="0" fontId="0" fillId="4" borderId="5" xfId="0" applyFill="1" applyBorder="1"/>
    <xf numFmtId="0" fontId="0" fillId="4" borderId="7" xfId="0" applyFill="1" applyBorder="1"/>
    <xf numFmtId="0" fontId="2" fillId="0" borderId="0" xfId="0" applyFont="1" applyAlignment="1">
      <alignment vertical="center" wrapText="1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/>
    </xf>
    <xf numFmtId="0" fontId="3" fillId="9" borderId="13" xfId="0" applyFont="1" applyFill="1" applyBorder="1"/>
    <xf numFmtId="0" fontId="3" fillId="9" borderId="1" xfId="0" applyFont="1" applyFill="1" applyBorder="1"/>
    <xf numFmtId="0" fontId="0" fillId="9" borderId="1" xfId="0" applyFill="1" applyBorder="1"/>
    <xf numFmtId="0" fontId="2" fillId="10" borderId="13" xfId="0" applyFont="1" applyFill="1" applyBorder="1"/>
    <xf numFmtId="0" fontId="2" fillId="10" borderId="1" xfId="0" applyFont="1" applyFill="1" applyBorder="1"/>
    <xf numFmtId="0" fontId="2" fillId="10" borderId="1" xfId="0" applyFont="1" applyFill="1" applyBorder="1" applyAlignment="1">
      <alignment vertical="center" wrapText="1"/>
    </xf>
    <xf numFmtId="0" fontId="0" fillId="10" borderId="1" xfId="0" applyFill="1" applyBorder="1"/>
    <xf numFmtId="0" fontId="2" fillId="7" borderId="1" xfId="0" applyFont="1" applyFill="1" applyBorder="1"/>
    <xf numFmtId="14" fontId="2" fillId="11" borderId="1" xfId="0" applyNumberFormat="1" applyFont="1" applyFill="1" applyBorder="1"/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left" vertical="center"/>
    </xf>
    <xf numFmtId="0" fontId="2" fillId="4" borderId="5" xfId="0" applyFont="1" applyFill="1" applyBorder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2" fillId="4" borderId="6" xfId="0" applyFont="1" applyFill="1" applyBorder="1" applyAlignment="1">
      <alignment horizontal="left" vertical="center"/>
    </xf>
    <xf numFmtId="0" fontId="2" fillId="4" borderId="7" xfId="0" applyFont="1" applyFill="1" applyBorder="1" applyAlignment="1">
      <alignment horizontal="left" vertical="center"/>
    </xf>
    <xf numFmtId="0" fontId="2" fillId="4" borderId="8" xfId="0" applyFont="1" applyFill="1" applyBorder="1" applyAlignment="1">
      <alignment horizontal="left" vertical="center"/>
    </xf>
    <xf numFmtId="0" fontId="2" fillId="4" borderId="9" xfId="0" applyFont="1" applyFill="1" applyBorder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0" fillId="4" borderId="6" xfId="0" applyFill="1" applyBorder="1" applyAlignment="1">
      <alignment horizontal="left" vertical="center"/>
    </xf>
    <xf numFmtId="0" fontId="0" fillId="4" borderId="8" xfId="0" applyFill="1" applyBorder="1" applyAlignment="1">
      <alignment horizontal="left"/>
    </xf>
    <xf numFmtId="0" fontId="0" fillId="4" borderId="9" xfId="0" applyFill="1" applyBorder="1" applyAlignment="1">
      <alignment horizontal="left"/>
    </xf>
    <xf numFmtId="0" fontId="2" fillId="4" borderId="5" xfId="0" applyFont="1" applyFill="1" applyBorder="1" applyAlignment="1">
      <alignment horizontal="left"/>
    </xf>
    <xf numFmtId="0" fontId="2" fillId="4" borderId="0" xfId="0" applyFont="1" applyFill="1" applyAlignment="1">
      <alignment horizontal="left"/>
    </xf>
    <xf numFmtId="0" fontId="2" fillId="4" borderId="6" xfId="0" applyFont="1" applyFill="1" applyBorder="1" applyAlignment="1">
      <alignment horizontal="left"/>
    </xf>
    <xf numFmtId="0" fontId="2" fillId="3" borderId="5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3" borderId="6" xfId="0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left" vertical="center"/>
    </xf>
    <xf numFmtId="0" fontId="2" fillId="3" borderId="8" xfId="0" applyFont="1" applyFill="1" applyBorder="1" applyAlignment="1">
      <alignment horizontal="left" vertical="center"/>
    </xf>
    <xf numFmtId="0" fontId="2" fillId="3" borderId="9" xfId="0" applyFont="1" applyFill="1" applyBorder="1" applyAlignment="1">
      <alignment horizontal="left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8" borderId="7" xfId="0" applyFont="1" applyFill="1" applyBorder="1" applyAlignment="1">
      <alignment horizontal="left"/>
    </xf>
    <xf numFmtId="0" fontId="2" fillId="8" borderId="8" xfId="0" applyFont="1" applyFill="1" applyBorder="1" applyAlignment="1">
      <alignment horizontal="left"/>
    </xf>
    <xf numFmtId="0" fontId="2" fillId="8" borderId="9" xfId="0" applyFont="1" applyFill="1" applyBorder="1" applyAlignment="1">
      <alignment horizontal="left"/>
    </xf>
    <xf numFmtId="0" fontId="3" fillId="8" borderId="2" xfId="0" applyFont="1" applyFill="1" applyBorder="1" applyAlignment="1">
      <alignment horizontal="left" vertical="center"/>
    </xf>
    <xf numFmtId="0" fontId="3" fillId="8" borderId="3" xfId="0" applyFont="1" applyFill="1" applyBorder="1" applyAlignment="1">
      <alignment horizontal="left" vertical="center"/>
    </xf>
    <xf numFmtId="0" fontId="3" fillId="8" borderId="4" xfId="0" applyFont="1" applyFill="1" applyBorder="1" applyAlignment="1">
      <alignment horizontal="left" vertical="center"/>
    </xf>
    <xf numFmtId="0" fontId="2" fillId="8" borderId="7" xfId="0" applyFont="1" applyFill="1" applyBorder="1" applyAlignment="1">
      <alignment horizontal="left" vertical="center"/>
    </xf>
    <xf numFmtId="0" fontId="2" fillId="8" borderId="8" xfId="0" applyFont="1" applyFill="1" applyBorder="1" applyAlignment="1">
      <alignment horizontal="left" vertical="center"/>
    </xf>
    <xf numFmtId="0" fontId="2" fillId="8" borderId="9" xfId="0" applyFont="1" applyFill="1" applyBorder="1" applyAlignment="1">
      <alignment horizontal="left" vertical="center"/>
    </xf>
    <xf numFmtId="0" fontId="0" fillId="8" borderId="7" xfId="0" applyFill="1" applyBorder="1" applyAlignment="1">
      <alignment horizontal="center" vertical="top"/>
    </xf>
    <xf numFmtId="0" fontId="0" fillId="8" borderId="8" xfId="0" applyFill="1" applyBorder="1" applyAlignment="1">
      <alignment horizontal="center" vertical="top"/>
    </xf>
    <xf numFmtId="0" fontId="0" fillId="8" borderId="9" xfId="0" applyFill="1" applyBorder="1" applyAlignment="1">
      <alignment horizontal="center" vertical="top"/>
    </xf>
    <xf numFmtId="0" fontId="2" fillId="8" borderId="7" xfId="0" applyFont="1" applyFill="1" applyBorder="1" applyAlignment="1">
      <alignment vertical="center"/>
    </xf>
    <xf numFmtId="0" fontId="2" fillId="8" borderId="8" xfId="0" applyFont="1" applyFill="1" applyBorder="1" applyAlignment="1">
      <alignment vertical="center"/>
    </xf>
    <xf numFmtId="0" fontId="2" fillId="8" borderId="9" xfId="0" applyFont="1" applyFill="1" applyBorder="1" applyAlignment="1">
      <alignment vertical="center"/>
    </xf>
    <xf numFmtId="0" fontId="3" fillId="8" borderId="2" xfId="0" applyFont="1" applyFill="1" applyBorder="1" applyAlignment="1">
      <alignment horizontal="left"/>
    </xf>
    <xf numFmtId="0" fontId="3" fillId="8" borderId="3" xfId="0" applyFont="1" applyFill="1" applyBorder="1" applyAlignment="1">
      <alignment horizontal="left"/>
    </xf>
    <xf numFmtId="0" fontId="3" fillId="8" borderId="4" xfId="0" applyFont="1" applyFill="1" applyBorder="1" applyAlignment="1">
      <alignment horizontal="left"/>
    </xf>
    <xf numFmtId="0" fontId="2" fillId="8" borderId="2" xfId="0" applyFont="1" applyFill="1" applyBorder="1" applyAlignment="1">
      <alignment horizontal="left"/>
    </xf>
    <xf numFmtId="0" fontId="2" fillId="8" borderId="3" xfId="0" applyFont="1" applyFill="1" applyBorder="1" applyAlignment="1">
      <alignment horizontal="left"/>
    </xf>
    <xf numFmtId="0" fontId="2" fillId="8" borderId="4" xfId="0" applyFont="1" applyFill="1" applyBorder="1" applyAlignment="1">
      <alignment horizontal="left"/>
    </xf>
    <xf numFmtId="0" fontId="3" fillId="6" borderId="10" xfId="0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vertical="center"/>
    </xf>
    <xf numFmtId="0" fontId="2" fillId="5" borderId="11" xfId="0" applyFont="1" applyFill="1" applyBorder="1" applyAlignment="1">
      <alignment vertical="center"/>
    </xf>
    <xf numFmtId="0" fontId="2" fillId="5" borderId="12" xfId="0" applyFont="1" applyFill="1" applyBorder="1" applyAlignment="1">
      <alignment vertical="center"/>
    </xf>
    <xf numFmtId="0" fontId="2" fillId="11" borderId="7" xfId="0" applyFont="1" applyFill="1" applyBorder="1" applyAlignment="1">
      <alignment vertical="center"/>
    </xf>
    <xf numFmtId="0" fontId="2" fillId="11" borderId="8" xfId="0" applyFont="1" applyFill="1" applyBorder="1" applyAlignment="1">
      <alignment vertical="center"/>
    </xf>
    <xf numFmtId="0" fontId="2" fillId="11" borderId="9" xfId="0" applyFont="1" applyFill="1" applyBorder="1" applyAlignment="1">
      <alignment vertical="center"/>
    </xf>
    <xf numFmtId="0" fontId="2" fillId="11" borderId="2" xfId="0" applyFont="1" applyFill="1" applyBorder="1" applyAlignment="1">
      <alignment horizontal="left" vertical="center"/>
    </xf>
    <xf numFmtId="0" fontId="2" fillId="11" borderId="3" xfId="0" applyFont="1" applyFill="1" applyBorder="1" applyAlignment="1">
      <alignment horizontal="left" vertical="center"/>
    </xf>
    <xf numFmtId="0" fontId="2" fillId="11" borderId="4" xfId="0" applyFont="1" applyFill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0" fillId="0" borderId="0" xfId="0" applyAlignment="1"/>
    <xf numFmtId="0" fontId="2" fillId="5" borderId="1" xfId="0" applyFont="1" applyFill="1" applyBorder="1" applyAlignment="1">
      <alignment horizontal="center" vertical="center"/>
    </xf>
    <xf numFmtId="0" fontId="2" fillId="12" borderId="0" xfId="0" applyFont="1" applyFill="1" applyAlignment="1"/>
    <xf numFmtId="0" fontId="2" fillId="12" borderId="0" xfId="0" applyFont="1" applyFill="1" applyAlignment="1">
      <alignment horizontal="left" wrapText="1"/>
    </xf>
    <xf numFmtId="0" fontId="2" fillId="12" borderId="0" xfId="0" applyFont="1" applyFill="1" applyAlignment="1">
      <alignment horizontal="left"/>
    </xf>
    <xf numFmtId="0" fontId="2" fillId="5" borderId="10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13" borderId="10" xfId="0" applyFont="1" applyFill="1" applyBorder="1" applyAlignment="1">
      <alignment vertical="center"/>
    </xf>
    <xf numFmtId="0" fontId="2" fillId="13" borderId="11" xfId="0" applyFont="1" applyFill="1" applyBorder="1" applyAlignment="1">
      <alignment vertical="center"/>
    </xf>
    <xf numFmtId="0" fontId="2" fillId="13" borderId="12" xfId="0" applyFont="1" applyFill="1" applyBorder="1" applyAlignment="1">
      <alignment vertical="center"/>
    </xf>
    <xf numFmtId="0" fontId="2" fillId="13" borderId="0" xfId="0" applyFont="1" applyFill="1" applyAlignment="1">
      <alignment vertical="center"/>
    </xf>
    <xf numFmtId="0" fontId="2" fillId="13" borderId="0" xfId="0" applyFont="1" applyFill="1" applyAlignment="1">
      <alignment horizontal="left" vertical="center"/>
    </xf>
    <xf numFmtId="0" fontId="0" fillId="7" borderId="1" xfId="0" applyFill="1" applyBorder="1"/>
    <xf numFmtId="0" fontId="2" fillId="5" borderId="0" xfId="0" applyFont="1" applyFill="1" applyAlignment="1">
      <alignment horizontal="center" vertical="center"/>
    </xf>
    <xf numFmtId="0" fontId="2" fillId="14" borderId="0" xfId="0" applyFont="1" applyFill="1" applyAlignment="1">
      <alignment horizontal="left"/>
    </xf>
    <xf numFmtId="0" fontId="2" fillId="14" borderId="0" xfId="0" applyFont="1" applyFill="1" applyAlignment="1">
      <alignment horizontal="left" vertical="center"/>
    </xf>
    <xf numFmtId="0" fontId="2" fillId="14" borderId="0" xfId="0" applyFont="1" applyFill="1" applyAlignment="1">
      <alignment vertical="center"/>
    </xf>
    <xf numFmtId="0" fontId="2" fillId="11" borderId="1" xfId="0" applyFont="1" applyFill="1" applyBorder="1"/>
    <xf numFmtId="0" fontId="0" fillId="11" borderId="1" xfId="0" applyFill="1" applyBorder="1"/>
    <xf numFmtId="0" fontId="3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vertical="center"/>
    </xf>
    <xf numFmtId="0" fontId="0" fillId="9" borderId="10" xfId="0" applyFill="1" applyBorder="1"/>
    <xf numFmtId="0" fontId="2" fillId="9" borderId="2" xfId="0" applyFont="1" applyFill="1" applyBorder="1" applyAlignment="1">
      <alignment vertical="center"/>
    </xf>
    <xf numFmtId="0" fontId="2" fillId="9" borderId="3" xfId="0" applyFont="1" applyFill="1" applyBorder="1" applyAlignment="1">
      <alignment vertical="center"/>
    </xf>
    <xf numFmtId="0" fontId="2" fillId="9" borderId="4" xfId="0" applyFont="1" applyFill="1" applyBorder="1" applyAlignment="1">
      <alignment vertical="center"/>
    </xf>
    <xf numFmtId="0" fontId="2" fillId="9" borderId="7" xfId="0" applyFont="1" applyFill="1" applyBorder="1" applyAlignment="1">
      <alignment horizontal="left" vertical="center"/>
    </xf>
    <xf numFmtId="0" fontId="2" fillId="9" borderId="8" xfId="0" applyFont="1" applyFill="1" applyBorder="1" applyAlignment="1">
      <alignment horizontal="left" vertical="center"/>
    </xf>
    <xf numFmtId="0" fontId="2" fillId="9" borderId="9" xfId="0" applyFont="1" applyFill="1" applyBorder="1" applyAlignment="1">
      <alignment horizontal="left" vertical="center"/>
    </xf>
    <xf numFmtId="0" fontId="2" fillId="6" borderId="10" xfId="0" applyFont="1" applyFill="1" applyBorder="1" applyAlignment="1">
      <alignment horizontal="left" vertical="center"/>
    </xf>
    <xf numFmtId="0" fontId="2" fillId="6" borderId="11" xfId="0" applyFont="1" applyFill="1" applyBorder="1" applyAlignment="1">
      <alignment horizontal="left" vertical="center"/>
    </xf>
    <xf numFmtId="0" fontId="2" fillId="6" borderId="12" xfId="0" applyFont="1" applyFill="1" applyBorder="1" applyAlignment="1">
      <alignment horizontal="left" vertical="center"/>
    </xf>
    <xf numFmtId="0" fontId="2" fillId="6" borderId="10" xfId="0" applyFont="1" applyFill="1" applyBorder="1" applyAlignment="1">
      <alignment vertical="center"/>
    </xf>
    <xf numFmtId="0" fontId="2" fillId="6" borderId="11" xfId="0" applyFont="1" applyFill="1" applyBorder="1" applyAlignment="1">
      <alignment vertical="center"/>
    </xf>
    <xf numFmtId="0" fontId="2" fillId="6" borderId="12" xfId="0" applyFont="1" applyFill="1" applyBorder="1" applyAlignment="1">
      <alignment vertical="center"/>
    </xf>
    <xf numFmtId="0" fontId="0" fillId="15" borderId="1" xfId="0" applyFill="1" applyBorder="1"/>
    <xf numFmtId="14" fontId="0" fillId="15" borderId="1" xfId="0" applyNumberFormat="1" applyFill="1" applyBorder="1"/>
    <xf numFmtId="2" fontId="0" fillId="15" borderId="1" xfId="0" applyNumberFormat="1" applyFill="1" applyBorder="1"/>
    <xf numFmtId="171" fontId="0" fillId="15" borderId="1" xfId="0" applyNumberFormat="1" applyFill="1" applyBorder="1"/>
    <xf numFmtId="0" fontId="2" fillId="9" borderId="0" xfId="0" applyFont="1" applyFill="1" applyBorder="1" applyAlignment="1">
      <alignment horizontal="left" vertical="center"/>
    </xf>
    <xf numFmtId="0" fontId="0" fillId="9" borderId="2" xfId="0" applyFill="1" applyBorder="1" applyAlignment="1">
      <alignment horizontal="left" vertical="center"/>
    </xf>
    <xf numFmtId="0" fontId="0" fillId="9" borderId="3" xfId="0" applyFill="1" applyBorder="1" applyAlignment="1">
      <alignment horizontal="left" vertical="center"/>
    </xf>
    <xf numFmtId="0" fontId="0" fillId="9" borderId="4" xfId="0" applyFill="1" applyBorder="1" applyAlignment="1">
      <alignment horizontal="left" vertical="center"/>
    </xf>
    <xf numFmtId="0" fontId="2" fillId="9" borderId="5" xfId="0" applyFont="1" applyFill="1" applyBorder="1" applyAlignment="1">
      <alignment horizontal="left" vertical="center"/>
    </xf>
    <xf numFmtId="0" fontId="2" fillId="9" borderId="6" xfId="0" applyFont="1" applyFill="1" applyBorder="1" applyAlignment="1">
      <alignment horizontal="left" vertical="center"/>
    </xf>
    <xf numFmtId="0" fontId="0" fillId="9" borderId="7" xfId="0" applyFill="1" applyBorder="1" applyAlignment="1">
      <alignment horizontal="left" vertical="center"/>
    </xf>
    <xf numFmtId="0" fontId="0" fillId="9" borderId="8" xfId="0" applyFill="1" applyBorder="1" applyAlignment="1">
      <alignment horizontal="left" vertical="center"/>
    </xf>
    <xf numFmtId="0" fontId="0" fillId="9" borderId="9" xfId="0" applyFill="1" applyBorder="1" applyAlignment="1">
      <alignment horizontal="left" vertical="center"/>
    </xf>
    <xf numFmtId="0" fontId="2" fillId="9" borderId="10" xfId="0" applyFont="1" applyFill="1" applyBorder="1" applyAlignment="1">
      <alignment horizontal="center" vertical="center"/>
    </xf>
    <xf numFmtId="0" fontId="2" fillId="9" borderId="11" xfId="0" applyFont="1" applyFill="1" applyBorder="1" applyAlignment="1">
      <alignment horizontal="center" vertical="center"/>
    </xf>
    <xf numFmtId="0" fontId="2" fillId="9" borderId="12" xfId="0" applyFont="1" applyFill="1" applyBorder="1" applyAlignment="1">
      <alignment horizontal="center" vertical="center"/>
    </xf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0D8BFF-C263-4C4B-BA0C-CEEB725E6329}" name="Table1" displayName="Table1" ref="D4:F7" totalsRowShown="0" headerRowDxfId="15" dataDxfId="13" headerRowBorderDxfId="14" tableBorderDxfId="12" totalsRowBorderDxfId="11">
  <tableColumns count="3">
    <tableColumn id="1" xr3:uid="{50E8F94A-369B-4C9E-997E-6113290B19F4}" name="Employee" dataDxfId="10"/>
    <tableColumn id="2" xr3:uid="{EE31452A-1266-4EC2-BC94-C859EC2BD5EC}" name="Department" dataDxfId="9"/>
    <tableColumn id="3" xr3:uid="{BA246F29-D2E7-4AB6-8840-D99A15FCA6F8}" name="Salary" dataDxfId="8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2C3A61A-AC0E-4CA8-A0C5-FC96D497E783}" name="Table13" displayName="Table13" ref="D19:F22" totalsRowShown="0" headerRowDxfId="7" dataDxfId="5" headerRowBorderDxfId="6" tableBorderDxfId="4" totalsRowBorderDxfId="3">
  <sortState xmlns:xlrd2="http://schemas.microsoft.com/office/spreadsheetml/2017/richdata2" ref="D20:F22">
    <sortCondition ref="E20:E22"/>
    <sortCondition descending="1" ref="F20:F22"/>
  </sortState>
  <tableColumns count="3">
    <tableColumn id="1" xr3:uid="{6BA11764-E943-492F-B3D2-07D30DFF5CE9}" name="Employee" dataDxfId="2"/>
    <tableColumn id="2" xr3:uid="{3A8D930F-2061-46B8-AAC6-36D7FA361776}" name="Department" dataDxfId="1"/>
    <tableColumn id="3" xr3:uid="{ECA2CE0F-5F2F-4B5E-83B9-96992119459D}" name="Salary" dataDxfId="0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4F3A958-93E3-44E9-B515-392AB8953A9A}" name="Table3" displayName="Table3" ref="C6:G15" totalsRowShown="0">
  <tableColumns count="5">
    <tableColumn id="1" xr3:uid="{CA4EAD51-05B7-48BB-BC50-C541773499B7}" name="Customer Name"/>
    <tableColumn id="2" xr3:uid="{F50B94D6-FBE2-4098-9209-8C123020537C}" name="Product Name"/>
    <tableColumn id="3" xr3:uid="{D3CA7467-42EB-4901-BC19-66E0709E063F}" name="Category"/>
    <tableColumn id="4" xr3:uid="{3C6A39AD-145E-4EB7-A495-51F040B76DD1}" name="Quantity"/>
    <tableColumn id="5" xr3:uid="{A5B04BA9-5217-4BFB-BC38-C616DC518944}" name="Unit Price ($)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F251BF3-152F-4744-B4F0-BAC85441C807}" name="Table4" displayName="Table4" ref="C20:G29" totalsRowShown="0">
  <tableColumns count="5">
    <tableColumn id="1" xr3:uid="{1B8152DB-9AAC-4F7D-BE2E-17F742F2E078}" name="Customer Name"/>
    <tableColumn id="2" xr3:uid="{CDC40C31-F265-4B00-9D6C-2B43B6A9F53C}" name="Product Name"/>
    <tableColumn id="3" xr3:uid="{C6A2FE8D-0C62-44B1-B01A-42B2B3624F82}" name="Category"/>
    <tableColumn id="4" xr3:uid="{E9E3D105-600B-4112-AC1C-2AC8C088BCDD}" name="Quantity"/>
    <tableColumn id="5" xr3:uid="{DC572917-8ECD-4768-98E1-BABB6FCB2562}" name="Unit Price ($)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762C6-EF99-4651-8DCB-95282F89CF96}">
  <dimension ref="B2:R33"/>
  <sheetViews>
    <sheetView zoomScaleNormal="100" workbookViewId="0">
      <selection activeCell="C22" sqref="C22:K22"/>
    </sheetView>
  </sheetViews>
  <sheetFormatPr defaultRowHeight="15" x14ac:dyDescent="0.25"/>
  <sheetData>
    <row r="2" spans="2:18" ht="15.75" x14ac:dyDescent="0.25">
      <c r="B2" s="35" t="s">
        <v>22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7"/>
    </row>
    <row r="3" spans="2:18" ht="15" customHeight="1" x14ac:dyDescent="0.25">
      <c r="B3" s="29" t="s">
        <v>0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1"/>
      <c r="N3" s="1"/>
      <c r="O3" s="1"/>
      <c r="P3" s="1"/>
      <c r="Q3" s="1"/>
      <c r="R3" s="1"/>
    </row>
    <row r="4" spans="2:18" x14ac:dyDescent="0.25">
      <c r="B4" s="32"/>
      <c r="C4" s="33"/>
      <c r="D4" s="33"/>
      <c r="E4" s="33"/>
      <c r="F4" s="33"/>
      <c r="G4" s="33"/>
      <c r="H4" s="33"/>
      <c r="I4" s="33"/>
      <c r="J4" s="33"/>
      <c r="K4" s="33"/>
      <c r="L4" s="33"/>
      <c r="M4" s="34"/>
      <c r="N4" s="1"/>
      <c r="O4" s="1"/>
      <c r="P4" s="1"/>
      <c r="Q4" s="1"/>
      <c r="R4" s="1"/>
    </row>
    <row r="6" spans="2:18" ht="15" customHeight="1" x14ac:dyDescent="0.25">
      <c r="C6" s="41" t="s">
        <v>1</v>
      </c>
      <c r="D6" s="42"/>
      <c r="E6" s="42"/>
      <c r="F6" s="42"/>
      <c r="G6" s="42"/>
      <c r="H6" s="43"/>
    </row>
    <row r="7" spans="2:18" ht="15.75" x14ac:dyDescent="0.25">
      <c r="C7" s="44" t="s">
        <v>40</v>
      </c>
      <c r="D7" s="45"/>
      <c r="E7" s="45"/>
      <c r="F7" s="45"/>
      <c r="G7" s="45"/>
      <c r="H7" s="46"/>
    </row>
    <row r="8" spans="2:18" ht="15.75" x14ac:dyDescent="0.25">
      <c r="C8" s="44" t="s">
        <v>41</v>
      </c>
      <c r="D8" s="45"/>
      <c r="E8" s="45"/>
      <c r="F8" s="45"/>
      <c r="G8" s="45"/>
      <c r="H8" s="46"/>
    </row>
    <row r="9" spans="2:18" ht="15.75" x14ac:dyDescent="0.25">
      <c r="C9" s="44" t="s">
        <v>5</v>
      </c>
      <c r="D9" s="45"/>
      <c r="E9" s="45"/>
      <c r="F9" s="45"/>
      <c r="G9" s="45"/>
      <c r="H9" s="46"/>
    </row>
    <row r="10" spans="2:18" ht="15.75" x14ac:dyDescent="0.25">
      <c r="C10" s="44" t="s">
        <v>2</v>
      </c>
      <c r="D10" s="45"/>
      <c r="E10" s="45"/>
      <c r="F10" s="45"/>
      <c r="G10" s="45"/>
      <c r="H10" s="46"/>
    </row>
    <row r="11" spans="2:18" ht="15.75" x14ac:dyDescent="0.25">
      <c r="C11" s="44" t="s">
        <v>3</v>
      </c>
      <c r="D11" s="45"/>
      <c r="E11" s="45"/>
      <c r="F11" s="45"/>
      <c r="G11" s="45"/>
      <c r="H11" s="46"/>
    </row>
    <row r="12" spans="2:18" ht="15.75" x14ac:dyDescent="0.25">
      <c r="C12" s="47" t="s">
        <v>4</v>
      </c>
      <c r="D12" s="48"/>
      <c r="E12" s="48"/>
      <c r="F12" s="48"/>
      <c r="G12" s="48"/>
      <c r="H12" s="49"/>
    </row>
    <row r="15" spans="2:18" ht="15.75" x14ac:dyDescent="0.25">
      <c r="B15" s="35" t="s">
        <v>6</v>
      </c>
      <c r="C15" s="36"/>
      <c r="D15" s="36"/>
      <c r="E15" s="36"/>
      <c r="F15" s="36"/>
      <c r="G15" s="36"/>
      <c r="H15" s="36"/>
      <c r="I15" s="36"/>
      <c r="J15" s="36"/>
      <c r="K15" s="37"/>
    </row>
    <row r="16" spans="2:18" ht="15.75" x14ac:dyDescent="0.25">
      <c r="B16" s="38" t="s">
        <v>7</v>
      </c>
      <c r="C16" s="39"/>
      <c r="D16" s="39"/>
      <c r="E16" s="39"/>
      <c r="F16" s="39"/>
      <c r="G16" s="39"/>
      <c r="H16" s="39"/>
      <c r="I16" s="39"/>
      <c r="J16" s="39"/>
      <c r="K16" s="40"/>
    </row>
    <row r="17" spans="2:13" x14ac:dyDescent="0.25">
      <c r="B17" s="15"/>
      <c r="C17" s="50" t="s">
        <v>42</v>
      </c>
      <c r="D17" s="50"/>
      <c r="E17" s="50"/>
      <c r="F17" s="50"/>
      <c r="G17" s="50"/>
      <c r="H17" s="50"/>
      <c r="I17" s="50"/>
      <c r="J17" s="50"/>
      <c r="K17" s="51"/>
    </row>
    <row r="18" spans="2:13" x14ac:dyDescent="0.25">
      <c r="B18" s="15"/>
      <c r="C18" s="50" t="s">
        <v>8</v>
      </c>
      <c r="D18" s="50"/>
      <c r="E18" s="50"/>
      <c r="F18" s="50"/>
      <c r="G18" s="50"/>
      <c r="H18" s="50"/>
      <c r="I18" s="50"/>
      <c r="J18" s="50"/>
      <c r="K18" s="51"/>
    </row>
    <row r="19" spans="2:13" x14ac:dyDescent="0.25">
      <c r="B19" s="15"/>
      <c r="C19" s="50" t="s">
        <v>9</v>
      </c>
      <c r="D19" s="50"/>
      <c r="E19" s="50"/>
      <c r="F19" s="50"/>
      <c r="G19" s="50"/>
      <c r="H19" s="50"/>
      <c r="I19" s="50"/>
      <c r="J19" s="50"/>
      <c r="K19" s="51"/>
    </row>
    <row r="20" spans="2:13" x14ac:dyDescent="0.25">
      <c r="B20" s="15"/>
      <c r="C20" s="50" t="s">
        <v>10</v>
      </c>
      <c r="D20" s="50"/>
      <c r="E20" s="50"/>
      <c r="F20" s="50"/>
      <c r="G20" s="50"/>
      <c r="H20" s="50"/>
      <c r="I20" s="50"/>
      <c r="J20" s="50"/>
      <c r="K20" s="51"/>
    </row>
    <row r="21" spans="2:13" x14ac:dyDescent="0.25">
      <c r="B21" s="15"/>
      <c r="C21" s="50" t="s">
        <v>12</v>
      </c>
      <c r="D21" s="50"/>
      <c r="E21" s="50"/>
      <c r="F21" s="50"/>
      <c r="G21" s="50"/>
      <c r="H21" s="50"/>
      <c r="I21" s="50"/>
      <c r="J21" s="50"/>
      <c r="K21" s="51"/>
    </row>
    <row r="22" spans="2:13" x14ac:dyDescent="0.25">
      <c r="B22" s="16"/>
      <c r="C22" s="52" t="s">
        <v>11</v>
      </c>
      <c r="D22" s="52"/>
      <c r="E22" s="52"/>
      <c r="F22" s="52"/>
      <c r="G22" s="52"/>
      <c r="H22" s="52"/>
      <c r="I22" s="52"/>
      <c r="J22" s="52"/>
      <c r="K22" s="53"/>
    </row>
    <row r="25" spans="2:13" ht="15.75" x14ac:dyDescent="0.25">
      <c r="B25" s="35" t="s">
        <v>13</v>
      </c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7"/>
    </row>
    <row r="26" spans="2:13" ht="15.75" x14ac:dyDescent="0.25">
      <c r="B26" s="41" t="s">
        <v>14</v>
      </c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3"/>
    </row>
    <row r="27" spans="2:13" ht="15.75" x14ac:dyDescent="0.25">
      <c r="B27" s="54" t="s">
        <v>15</v>
      </c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6"/>
    </row>
    <row r="28" spans="2:13" ht="15.75" x14ac:dyDescent="0.25">
      <c r="B28" s="44" t="s">
        <v>16</v>
      </c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6"/>
    </row>
    <row r="29" spans="2:13" ht="15.75" x14ac:dyDescent="0.25">
      <c r="B29" s="54" t="s">
        <v>17</v>
      </c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6"/>
    </row>
    <row r="30" spans="2:13" ht="15.75" x14ac:dyDescent="0.25">
      <c r="B30" s="54" t="s">
        <v>18</v>
      </c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6"/>
    </row>
    <row r="31" spans="2:13" ht="15.75" x14ac:dyDescent="0.25">
      <c r="B31" s="54" t="s">
        <v>19</v>
      </c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6"/>
    </row>
    <row r="32" spans="2:13" ht="15.75" x14ac:dyDescent="0.25">
      <c r="B32" s="54" t="s">
        <v>20</v>
      </c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6"/>
    </row>
    <row r="33" spans="2:13" ht="15.75" x14ac:dyDescent="0.25">
      <c r="B33" s="12" t="s">
        <v>21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4"/>
    </row>
  </sheetData>
  <mergeCells count="25">
    <mergeCell ref="B32:M32"/>
    <mergeCell ref="B25:M25"/>
    <mergeCell ref="B31:M31"/>
    <mergeCell ref="B28:M28"/>
    <mergeCell ref="B29:M29"/>
    <mergeCell ref="B30:M30"/>
    <mergeCell ref="C21:K21"/>
    <mergeCell ref="C22:K22"/>
    <mergeCell ref="B26:M26"/>
    <mergeCell ref="B27:M27"/>
    <mergeCell ref="C17:K17"/>
    <mergeCell ref="C18:K18"/>
    <mergeCell ref="C19:K19"/>
    <mergeCell ref="C20:K20"/>
    <mergeCell ref="B3:M4"/>
    <mergeCell ref="B2:M2"/>
    <mergeCell ref="B15:K15"/>
    <mergeCell ref="B16:K16"/>
    <mergeCell ref="C6:H6"/>
    <mergeCell ref="C8:H8"/>
    <mergeCell ref="C9:H9"/>
    <mergeCell ref="C11:H11"/>
    <mergeCell ref="C12:H12"/>
    <mergeCell ref="C7:H7"/>
    <mergeCell ref="C10:H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8DFB6-910E-46F3-8CAC-E5693CC8864C}">
  <dimension ref="B2:Q22"/>
  <sheetViews>
    <sheetView workbookViewId="0">
      <selection activeCell="D21" sqref="D21"/>
    </sheetView>
  </sheetViews>
  <sheetFormatPr defaultRowHeight="15" x14ac:dyDescent="0.25"/>
  <cols>
    <col min="4" max="4" width="12.140625" customWidth="1"/>
    <col min="5" max="5" width="14.140625" customWidth="1"/>
    <col min="6" max="6" width="8.85546875" customWidth="1"/>
  </cols>
  <sheetData>
    <row r="2" spans="2:17" ht="15.75" x14ac:dyDescent="0.25">
      <c r="B2" s="35" t="s">
        <v>31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7"/>
    </row>
    <row r="4" spans="2:17" ht="15.75" x14ac:dyDescent="0.25">
      <c r="D4" s="3" t="s">
        <v>23</v>
      </c>
      <c r="E4" s="4" t="s">
        <v>24</v>
      </c>
      <c r="F4" s="5" t="s">
        <v>30</v>
      </c>
    </row>
    <row r="5" spans="2:17" ht="15.75" x14ac:dyDescent="0.25">
      <c r="D5" s="6" t="s">
        <v>25</v>
      </c>
      <c r="E5" s="7" t="s">
        <v>29</v>
      </c>
      <c r="F5" s="8">
        <v>4000</v>
      </c>
    </row>
    <row r="6" spans="2:17" ht="15.75" x14ac:dyDescent="0.25">
      <c r="D6" s="6" t="s">
        <v>26</v>
      </c>
      <c r="E6" s="7" t="s">
        <v>28</v>
      </c>
      <c r="F6" s="8">
        <v>5000</v>
      </c>
    </row>
    <row r="7" spans="2:17" ht="15.75" x14ac:dyDescent="0.25">
      <c r="D7" s="9" t="s">
        <v>27</v>
      </c>
      <c r="E7" s="10" t="s">
        <v>29</v>
      </c>
      <c r="F7" s="11">
        <v>2500</v>
      </c>
    </row>
    <row r="9" spans="2:17" ht="15.75" x14ac:dyDescent="0.25">
      <c r="B9" s="66" t="s">
        <v>32</v>
      </c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8"/>
    </row>
    <row r="10" spans="2:17" ht="15.75" x14ac:dyDescent="0.25">
      <c r="B10" s="69" t="s">
        <v>33</v>
      </c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1"/>
    </row>
    <row r="11" spans="2:17" ht="15.75" x14ac:dyDescent="0.25">
      <c r="B11" s="57" t="s">
        <v>34</v>
      </c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9"/>
    </row>
    <row r="12" spans="2:17" ht="15.75" x14ac:dyDescent="0.25">
      <c r="B12" s="57" t="s">
        <v>35</v>
      </c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9"/>
    </row>
    <row r="13" spans="2:17" ht="15.75" x14ac:dyDescent="0.25">
      <c r="B13" s="57" t="s">
        <v>36</v>
      </c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9"/>
    </row>
    <row r="14" spans="2:17" ht="15.75" x14ac:dyDescent="0.25">
      <c r="B14" s="57" t="s">
        <v>37</v>
      </c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9"/>
    </row>
    <row r="15" spans="2:17" ht="15.75" x14ac:dyDescent="0.25">
      <c r="B15" s="60" t="s">
        <v>38</v>
      </c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2"/>
    </row>
    <row r="17" spans="2:9" x14ac:dyDescent="0.25">
      <c r="B17" s="63" t="s">
        <v>39</v>
      </c>
      <c r="C17" s="64"/>
      <c r="D17" s="64"/>
      <c r="E17" s="64"/>
      <c r="F17" s="64"/>
      <c r="G17" s="64"/>
      <c r="H17" s="65"/>
      <c r="I17" s="2"/>
    </row>
    <row r="19" spans="2:9" ht="15.75" x14ac:dyDescent="0.25">
      <c r="D19" s="3" t="s">
        <v>23</v>
      </c>
      <c r="E19" s="4" t="s">
        <v>24</v>
      </c>
      <c r="F19" s="5" t="s">
        <v>30</v>
      </c>
    </row>
    <row r="20" spans="2:9" ht="15.75" x14ac:dyDescent="0.25">
      <c r="D20" s="6" t="s">
        <v>26</v>
      </c>
      <c r="E20" s="7" t="s">
        <v>28</v>
      </c>
      <c r="F20" s="8">
        <v>5000</v>
      </c>
    </row>
    <row r="21" spans="2:9" ht="15.75" x14ac:dyDescent="0.25">
      <c r="D21" s="6" t="s">
        <v>25</v>
      </c>
      <c r="E21" s="7" t="s">
        <v>29</v>
      </c>
      <c r="F21" s="8">
        <v>4000</v>
      </c>
    </row>
    <row r="22" spans="2:9" ht="15.75" x14ac:dyDescent="0.25">
      <c r="D22" s="9" t="s">
        <v>27</v>
      </c>
      <c r="E22" s="10" t="s">
        <v>29</v>
      </c>
      <c r="F22" s="11">
        <v>2500</v>
      </c>
    </row>
  </sheetData>
  <mergeCells count="9">
    <mergeCell ref="B13:N13"/>
    <mergeCell ref="B14:N14"/>
    <mergeCell ref="B15:N15"/>
    <mergeCell ref="B17:H17"/>
    <mergeCell ref="B2:Q2"/>
    <mergeCell ref="B9:N9"/>
    <mergeCell ref="B10:N10"/>
    <mergeCell ref="B11:N11"/>
    <mergeCell ref="B12:N12"/>
  </mergeCell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1DE12-A056-4A88-8946-5C7ABE6DF352}">
  <dimension ref="B2:V27"/>
  <sheetViews>
    <sheetView topLeftCell="A10" workbookViewId="0">
      <selection activeCell="C16" sqref="C16"/>
    </sheetView>
  </sheetViews>
  <sheetFormatPr defaultRowHeight="15" x14ac:dyDescent="0.25"/>
  <cols>
    <col min="2" max="2" width="9" bestFit="1" customWidth="1"/>
    <col min="3" max="3" width="11.85546875" customWidth="1"/>
    <col min="4" max="4" width="14.42578125" bestFit="1" customWidth="1"/>
    <col min="5" max="5" width="10.5703125" bestFit="1" customWidth="1"/>
    <col min="6" max="6" width="13.28515625" bestFit="1" customWidth="1"/>
  </cols>
  <sheetData>
    <row r="2" spans="2:22" ht="15.75" x14ac:dyDescent="0.25">
      <c r="B2" s="93" t="s">
        <v>43</v>
      </c>
      <c r="C2" s="94"/>
      <c r="D2" s="94"/>
      <c r="E2" s="94"/>
      <c r="F2" s="94"/>
      <c r="G2" s="94"/>
      <c r="H2" s="94"/>
      <c r="I2" s="94"/>
      <c r="J2" s="94"/>
      <c r="K2" s="94"/>
      <c r="L2" s="95"/>
    </row>
    <row r="4" spans="2:22" ht="15.75" x14ac:dyDescent="0.25">
      <c r="B4" s="18" t="s">
        <v>44</v>
      </c>
      <c r="C4" s="90" t="s">
        <v>50</v>
      </c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2"/>
    </row>
    <row r="5" spans="2:22" ht="15.75" customHeight="1" x14ac:dyDescent="0.25">
      <c r="C5" s="72" t="s">
        <v>62</v>
      </c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4"/>
    </row>
    <row r="6" spans="2:22" ht="15" customHeight="1" x14ac:dyDescent="0.25">
      <c r="C6" s="20" t="s">
        <v>45</v>
      </c>
      <c r="D6" s="23" t="s">
        <v>46</v>
      </c>
    </row>
    <row r="7" spans="2:22" ht="15" customHeight="1" x14ac:dyDescent="0.25">
      <c r="C7" s="27" t="s">
        <v>47</v>
      </c>
      <c r="D7" s="24" t="str">
        <f>TRIM(D6)</f>
        <v>Amit Singh</v>
      </c>
    </row>
    <row r="9" spans="2:22" ht="15.75" x14ac:dyDescent="0.25">
      <c r="B9" s="18" t="s">
        <v>48</v>
      </c>
      <c r="C9" s="87" t="s">
        <v>51</v>
      </c>
      <c r="D9" s="88"/>
      <c r="E9" s="88"/>
      <c r="F9" s="88"/>
      <c r="G9" s="88"/>
      <c r="H9" s="88"/>
      <c r="I9" s="89"/>
    </row>
    <row r="10" spans="2:22" ht="15.75" x14ac:dyDescent="0.25">
      <c r="C10" s="84" t="s">
        <v>53</v>
      </c>
      <c r="D10" s="85"/>
      <c r="E10" s="85"/>
      <c r="F10" s="85"/>
      <c r="G10" s="85"/>
      <c r="H10" s="85"/>
      <c r="I10" s="86"/>
    </row>
    <row r="11" spans="2:22" ht="15.75" x14ac:dyDescent="0.25">
      <c r="C11" s="21" t="s">
        <v>49</v>
      </c>
      <c r="D11" s="24" t="s">
        <v>56</v>
      </c>
    </row>
    <row r="12" spans="2:22" ht="15" customHeight="1" x14ac:dyDescent="0.25">
      <c r="C12" s="27" t="s">
        <v>47</v>
      </c>
      <c r="D12" s="25" t="str">
        <f>LEFT(D11,3)</f>
        <v>MTA</v>
      </c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</row>
    <row r="13" spans="2:22" ht="15" customHeight="1" x14ac:dyDescent="0.25"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</row>
    <row r="14" spans="2:22" ht="15.75" x14ac:dyDescent="0.25">
      <c r="B14" s="18" t="s">
        <v>52</v>
      </c>
      <c r="C14" s="75" t="s">
        <v>55</v>
      </c>
      <c r="D14" s="76"/>
      <c r="E14" s="76"/>
      <c r="F14" s="76"/>
      <c r="G14" s="76"/>
      <c r="H14" s="77"/>
    </row>
    <row r="15" spans="2:22" ht="15.75" x14ac:dyDescent="0.25">
      <c r="C15" s="72" t="s">
        <v>54</v>
      </c>
      <c r="D15" s="73"/>
      <c r="E15" s="73"/>
      <c r="F15" s="73"/>
      <c r="G15" s="73"/>
      <c r="H15" s="74"/>
    </row>
    <row r="16" spans="2:22" ht="15.75" x14ac:dyDescent="0.25">
      <c r="C16" s="21" t="s">
        <v>49</v>
      </c>
      <c r="D16" s="24" t="s">
        <v>57</v>
      </c>
    </row>
    <row r="17" spans="2:9" ht="15.75" x14ac:dyDescent="0.25">
      <c r="C17" s="27" t="s">
        <v>47</v>
      </c>
      <c r="D17" s="24" t="str">
        <f>RIGHT(D16,3)</f>
        <v>MTA</v>
      </c>
    </row>
    <row r="19" spans="2:9" ht="15.75" x14ac:dyDescent="0.25">
      <c r="B19" s="19" t="s">
        <v>58</v>
      </c>
      <c r="C19" s="75" t="s">
        <v>59</v>
      </c>
      <c r="D19" s="76"/>
      <c r="E19" s="76"/>
      <c r="F19" s="76"/>
      <c r="G19" s="77"/>
    </row>
    <row r="20" spans="2:9" ht="15.75" x14ac:dyDescent="0.25">
      <c r="C20" s="78" t="s">
        <v>60</v>
      </c>
      <c r="D20" s="79"/>
      <c r="E20" s="79"/>
      <c r="F20" s="79"/>
      <c r="G20" s="80"/>
    </row>
    <row r="21" spans="2:9" ht="15.75" x14ac:dyDescent="0.25">
      <c r="C21" s="21" t="s">
        <v>49</v>
      </c>
      <c r="D21" s="24" t="s">
        <v>61</v>
      </c>
    </row>
    <row r="22" spans="2:9" ht="15.75" x14ac:dyDescent="0.25">
      <c r="C22" s="27" t="s">
        <v>47</v>
      </c>
      <c r="D22" s="24" t="str">
        <f>MID(D21,5,3)</f>
        <v>MTA</v>
      </c>
    </row>
    <row r="24" spans="2:9" ht="15.75" x14ac:dyDescent="0.25">
      <c r="B24" s="18" t="s">
        <v>63</v>
      </c>
      <c r="C24" s="75" t="s">
        <v>65</v>
      </c>
      <c r="D24" s="76"/>
      <c r="E24" s="76"/>
      <c r="F24" s="76"/>
      <c r="G24" s="76"/>
      <c r="H24" s="76"/>
      <c r="I24" s="77"/>
    </row>
    <row r="25" spans="2:9" x14ac:dyDescent="0.25">
      <c r="C25" s="81" t="s">
        <v>64</v>
      </c>
      <c r="D25" s="82"/>
      <c r="E25" s="82"/>
      <c r="F25" s="82"/>
      <c r="G25" s="82"/>
      <c r="H25" s="82"/>
      <c r="I25" s="83"/>
    </row>
    <row r="26" spans="2:9" x14ac:dyDescent="0.25">
      <c r="C26" s="22" t="s">
        <v>49</v>
      </c>
      <c r="D26" s="26" t="s">
        <v>66</v>
      </c>
      <c r="E26" s="26" t="s">
        <v>67</v>
      </c>
      <c r="F26" s="26" t="s">
        <v>68</v>
      </c>
    </row>
    <row r="27" spans="2:9" x14ac:dyDescent="0.25">
      <c r="D27" s="26" t="s">
        <v>69</v>
      </c>
      <c r="E27" s="26" t="s">
        <v>70</v>
      </c>
      <c r="F27" s="26" t="str">
        <f>_xlfn.CONCAT(D27," ",E27)</f>
        <v>Muskan  Singh</v>
      </c>
    </row>
  </sheetData>
  <mergeCells count="11">
    <mergeCell ref="B2:L2"/>
    <mergeCell ref="C10:I10"/>
    <mergeCell ref="C9:I9"/>
    <mergeCell ref="C5:R5"/>
    <mergeCell ref="C4:R4"/>
    <mergeCell ref="C14:H14"/>
    <mergeCell ref="C15:H15"/>
    <mergeCell ref="C19:G19"/>
    <mergeCell ref="C20:G20"/>
    <mergeCell ref="C25:I25"/>
    <mergeCell ref="C24:I2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A3FD9-E02C-4A89-A9B1-D03EA812440F}">
  <dimension ref="B2:O7"/>
  <sheetViews>
    <sheetView workbookViewId="0">
      <selection activeCell="F10" sqref="F10"/>
    </sheetView>
  </sheetViews>
  <sheetFormatPr defaultRowHeight="15" x14ac:dyDescent="0.25"/>
  <cols>
    <col min="2" max="2" width="11.28515625" customWidth="1"/>
    <col min="3" max="3" width="10.5703125" customWidth="1"/>
  </cols>
  <sheetData>
    <row r="2" spans="2:15" ht="15.75" x14ac:dyDescent="0.25">
      <c r="B2" s="96" t="s">
        <v>71</v>
      </c>
      <c r="C2" s="97"/>
      <c r="D2" s="97"/>
      <c r="E2" s="97"/>
      <c r="F2" s="97"/>
      <c r="G2" s="97"/>
      <c r="H2" s="97"/>
      <c r="I2" s="98"/>
    </row>
    <row r="4" spans="2:15" ht="15.75" x14ac:dyDescent="0.25">
      <c r="B4" s="102" t="s">
        <v>72</v>
      </c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4"/>
    </row>
    <row r="5" spans="2:15" ht="15.75" x14ac:dyDescent="0.25">
      <c r="B5" s="99" t="s">
        <v>73</v>
      </c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1"/>
    </row>
    <row r="7" spans="2:15" ht="15.75" x14ac:dyDescent="0.25">
      <c r="B7" s="21" t="s">
        <v>49</v>
      </c>
      <c r="C7" s="28">
        <f ca="1">TODAY()</f>
        <v>46009</v>
      </c>
    </row>
  </sheetData>
  <mergeCells count="3">
    <mergeCell ref="B2:I2"/>
    <mergeCell ref="B5:O5"/>
    <mergeCell ref="B4:O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81DFB-1E41-443D-85A0-D22B0F650972}">
  <dimension ref="B2:S29"/>
  <sheetViews>
    <sheetView workbookViewId="0">
      <selection activeCell="N7" sqref="N7"/>
    </sheetView>
  </sheetViews>
  <sheetFormatPr defaultRowHeight="15" x14ac:dyDescent="0.25"/>
  <cols>
    <col min="3" max="3" width="17.42578125" customWidth="1"/>
    <col min="4" max="4" width="15.7109375" customWidth="1"/>
    <col min="5" max="5" width="11.85546875" bestFit="1" customWidth="1"/>
    <col min="6" max="6" width="10.85546875" customWidth="1"/>
    <col min="7" max="7" width="14.5703125" customWidth="1"/>
  </cols>
  <sheetData>
    <row r="2" spans="2:18" ht="15.75" x14ac:dyDescent="0.25">
      <c r="B2" s="107" t="s">
        <v>137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</row>
    <row r="4" spans="2:18" ht="15.75" x14ac:dyDescent="0.25">
      <c r="B4" s="108" t="s">
        <v>162</v>
      </c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8"/>
      <c r="Q4" s="105"/>
      <c r="R4" s="105"/>
    </row>
    <row r="6" spans="2:18" x14ac:dyDescent="0.25">
      <c r="C6" t="s">
        <v>138</v>
      </c>
      <c r="D6" t="s">
        <v>139</v>
      </c>
      <c r="E6" t="s">
        <v>140</v>
      </c>
      <c r="F6" t="s">
        <v>141</v>
      </c>
      <c r="G6" t="s">
        <v>142</v>
      </c>
    </row>
    <row r="7" spans="2:18" x14ac:dyDescent="0.25">
      <c r="C7" t="s">
        <v>143</v>
      </c>
      <c r="D7" t="s">
        <v>144</v>
      </c>
      <c r="E7" t="s">
        <v>145</v>
      </c>
      <c r="F7">
        <v>1</v>
      </c>
      <c r="G7">
        <v>81</v>
      </c>
    </row>
    <row r="8" spans="2:18" x14ac:dyDescent="0.25">
      <c r="C8" t="s">
        <v>146</v>
      </c>
      <c r="D8" t="s">
        <v>147</v>
      </c>
      <c r="E8" t="s">
        <v>145</v>
      </c>
      <c r="F8">
        <v>2</v>
      </c>
      <c r="G8">
        <v>121</v>
      </c>
    </row>
    <row r="9" spans="2:18" x14ac:dyDescent="0.25">
      <c r="C9" t="s">
        <v>148</v>
      </c>
      <c r="D9" t="s">
        <v>149</v>
      </c>
      <c r="E9" t="s">
        <v>150</v>
      </c>
      <c r="F9">
        <v>3</v>
      </c>
      <c r="G9">
        <v>239</v>
      </c>
    </row>
    <row r="10" spans="2:18" x14ac:dyDescent="0.25">
      <c r="C10" t="s">
        <v>151</v>
      </c>
      <c r="D10" t="s">
        <v>144</v>
      </c>
      <c r="E10" t="s">
        <v>145</v>
      </c>
      <c r="F10">
        <v>4</v>
      </c>
      <c r="G10">
        <v>500</v>
      </c>
    </row>
    <row r="11" spans="2:18" x14ac:dyDescent="0.25">
      <c r="C11" t="s">
        <v>152</v>
      </c>
      <c r="D11" t="s">
        <v>153</v>
      </c>
      <c r="E11" t="s">
        <v>154</v>
      </c>
      <c r="F11">
        <v>5</v>
      </c>
      <c r="G11">
        <v>423</v>
      </c>
    </row>
    <row r="12" spans="2:18" x14ac:dyDescent="0.25">
      <c r="C12" t="s">
        <v>155</v>
      </c>
      <c r="D12" t="s">
        <v>156</v>
      </c>
      <c r="E12" t="s">
        <v>145</v>
      </c>
      <c r="F12">
        <v>6</v>
      </c>
      <c r="G12">
        <v>160</v>
      </c>
    </row>
    <row r="13" spans="2:18" x14ac:dyDescent="0.25">
      <c r="C13" t="s">
        <v>157</v>
      </c>
      <c r="D13" t="s">
        <v>158</v>
      </c>
      <c r="E13" t="s">
        <v>145</v>
      </c>
      <c r="F13">
        <v>7</v>
      </c>
      <c r="G13">
        <v>348</v>
      </c>
    </row>
    <row r="14" spans="2:18" x14ac:dyDescent="0.25">
      <c r="C14" t="s">
        <v>159</v>
      </c>
      <c r="D14" t="s">
        <v>158</v>
      </c>
      <c r="E14" t="s">
        <v>145</v>
      </c>
      <c r="F14">
        <v>8</v>
      </c>
      <c r="G14">
        <v>152</v>
      </c>
    </row>
    <row r="15" spans="2:18" x14ac:dyDescent="0.25">
      <c r="C15" t="s">
        <v>160</v>
      </c>
      <c r="D15" t="s">
        <v>161</v>
      </c>
      <c r="E15" t="s">
        <v>154</v>
      </c>
      <c r="F15">
        <v>9</v>
      </c>
      <c r="G15">
        <v>369</v>
      </c>
    </row>
    <row r="16" spans="2:18" x14ac:dyDescent="0.25">
      <c r="B16" s="106"/>
    </row>
    <row r="17" spans="2:19" ht="15.75" x14ac:dyDescent="0.25">
      <c r="B17" s="109" t="s">
        <v>163</v>
      </c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10"/>
    </row>
    <row r="20" spans="2:19" x14ac:dyDescent="0.25">
      <c r="C20" t="s">
        <v>138</v>
      </c>
      <c r="D20" t="s">
        <v>139</v>
      </c>
      <c r="E20" t="s">
        <v>140</v>
      </c>
      <c r="F20" t="s">
        <v>141</v>
      </c>
      <c r="G20" t="s">
        <v>142</v>
      </c>
    </row>
    <row r="21" spans="2:19" x14ac:dyDescent="0.25">
      <c r="C21" t="s">
        <v>143</v>
      </c>
      <c r="D21" t="s">
        <v>144</v>
      </c>
      <c r="E21" t="s">
        <v>145</v>
      </c>
      <c r="F21">
        <v>1</v>
      </c>
      <c r="G21">
        <v>81</v>
      </c>
    </row>
    <row r="22" spans="2:19" x14ac:dyDescent="0.25">
      <c r="C22" t="s">
        <v>146</v>
      </c>
      <c r="D22" t="s">
        <v>147</v>
      </c>
      <c r="E22" t="s">
        <v>145</v>
      </c>
      <c r="F22">
        <v>2</v>
      </c>
      <c r="G22">
        <v>121</v>
      </c>
    </row>
    <row r="23" spans="2:19" x14ac:dyDescent="0.25">
      <c r="C23" t="s">
        <v>148</v>
      </c>
      <c r="D23" t="s">
        <v>149</v>
      </c>
      <c r="E23" t="s">
        <v>150</v>
      </c>
      <c r="F23">
        <v>3</v>
      </c>
      <c r="G23">
        <v>239</v>
      </c>
    </row>
    <row r="24" spans="2:19" x14ac:dyDescent="0.25">
      <c r="C24" t="s">
        <v>151</v>
      </c>
      <c r="D24" t="s">
        <v>144</v>
      </c>
      <c r="E24" t="s">
        <v>145</v>
      </c>
      <c r="F24">
        <v>4</v>
      </c>
      <c r="G24">
        <v>500</v>
      </c>
    </row>
    <row r="25" spans="2:19" x14ac:dyDescent="0.25">
      <c r="C25" t="s">
        <v>152</v>
      </c>
      <c r="D25" t="s">
        <v>153</v>
      </c>
      <c r="E25" t="s">
        <v>154</v>
      </c>
      <c r="F25">
        <v>5</v>
      </c>
      <c r="G25">
        <v>423</v>
      </c>
    </row>
    <row r="26" spans="2:19" x14ac:dyDescent="0.25">
      <c r="C26" t="s">
        <v>155</v>
      </c>
      <c r="D26" t="s">
        <v>156</v>
      </c>
      <c r="E26" t="s">
        <v>145</v>
      </c>
      <c r="F26">
        <v>6</v>
      </c>
      <c r="G26">
        <v>160</v>
      </c>
    </row>
    <row r="27" spans="2:19" x14ac:dyDescent="0.25">
      <c r="C27" t="s">
        <v>157</v>
      </c>
      <c r="D27" t="s">
        <v>158</v>
      </c>
      <c r="E27" t="s">
        <v>145</v>
      </c>
      <c r="F27">
        <v>7</v>
      </c>
      <c r="G27">
        <v>348</v>
      </c>
    </row>
    <row r="28" spans="2:19" x14ac:dyDescent="0.25">
      <c r="C28" t="s">
        <v>159</v>
      </c>
      <c r="D28" t="s">
        <v>158</v>
      </c>
      <c r="E28" t="s">
        <v>145</v>
      </c>
      <c r="F28">
        <v>8</v>
      </c>
      <c r="G28">
        <v>152</v>
      </c>
    </row>
    <row r="29" spans="2:19" x14ac:dyDescent="0.25">
      <c r="C29" t="s">
        <v>160</v>
      </c>
      <c r="D29" t="s">
        <v>161</v>
      </c>
      <c r="E29" t="s">
        <v>154</v>
      </c>
      <c r="F29">
        <v>9</v>
      </c>
      <c r="G29">
        <v>369</v>
      </c>
    </row>
  </sheetData>
  <mergeCells count="3">
    <mergeCell ref="B2:L2"/>
    <mergeCell ref="B4:P4"/>
    <mergeCell ref="B17:S17"/>
  </mergeCells>
  <dataValidations count="2">
    <dataValidation type="whole" allowBlank="1" showInputMessage="1" showErrorMessage="1" error="Invalid input" sqref="F20" xr:uid="{8150A4E3-A4BB-4E67-8F52-CF10205063A5}">
      <formula1>1</formula1>
      <formula2>10</formula2>
    </dataValidation>
    <dataValidation type="whole" allowBlank="1" showInputMessage="1" showErrorMessage="1" sqref="F6 F8:F15 F22:F29" xr:uid="{A7E8B02A-4D62-453B-B666-2062F40D0972}">
      <formula1>1</formula1>
      <formula2>10</formula2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D67A6-3112-4506-9E67-3F821984DA02}">
  <dimension ref="B2:K27"/>
  <sheetViews>
    <sheetView topLeftCell="A13" workbookViewId="0">
      <selection activeCell="C26" sqref="C26:D27"/>
    </sheetView>
  </sheetViews>
  <sheetFormatPr defaultRowHeight="15" x14ac:dyDescent="0.25"/>
  <cols>
    <col min="2" max="2" width="11.85546875" customWidth="1"/>
    <col min="3" max="3" width="15.5703125" customWidth="1"/>
    <col min="4" max="4" width="21.140625" customWidth="1"/>
  </cols>
  <sheetData>
    <row r="2" spans="2:11" ht="15.75" x14ac:dyDescent="0.25">
      <c r="B2" s="111" t="s">
        <v>74</v>
      </c>
      <c r="C2" s="112"/>
      <c r="D2" s="112"/>
      <c r="E2" s="112"/>
      <c r="F2" s="112"/>
      <c r="G2" s="112"/>
      <c r="H2" s="112"/>
      <c r="I2" s="112"/>
      <c r="J2" s="112"/>
      <c r="K2" s="113"/>
    </row>
    <row r="4" spans="2:11" ht="15.75" x14ac:dyDescent="0.25">
      <c r="B4" s="114" t="s">
        <v>75</v>
      </c>
      <c r="C4" s="115"/>
      <c r="D4" s="115"/>
      <c r="E4" s="115"/>
      <c r="F4" s="115"/>
      <c r="G4" s="115"/>
      <c r="H4" s="115"/>
      <c r="I4" s="115"/>
      <c r="J4" s="115"/>
      <c r="K4" s="116"/>
    </row>
    <row r="6" spans="2:11" ht="15.75" x14ac:dyDescent="0.25">
      <c r="C6" s="27" t="s">
        <v>77</v>
      </c>
      <c r="D6" s="27" t="s">
        <v>76</v>
      </c>
    </row>
    <row r="7" spans="2:11" ht="15.75" x14ac:dyDescent="0.25">
      <c r="C7" s="27" t="s">
        <v>78</v>
      </c>
      <c r="D7" s="27" t="str">
        <f>LEFT(D6,5)</f>
        <v>Excel</v>
      </c>
    </row>
    <row r="9" spans="2:11" ht="15.75" x14ac:dyDescent="0.25">
      <c r="B9" s="117" t="s">
        <v>79</v>
      </c>
      <c r="C9" s="117"/>
      <c r="D9" s="117"/>
      <c r="E9" s="117"/>
      <c r="F9" s="117"/>
      <c r="G9" s="117"/>
      <c r="H9" s="117"/>
    </row>
    <row r="11" spans="2:11" ht="15.75" x14ac:dyDescent="0.25">
      <c r="C11" s="27" t="s">
        <v>77</v>
      </c>
      <c r="D11" s="27" t="s">
        <v>80</v>
      </c>
    </row>
    <row r="12" spans="2:11" ht="15.75" x14ac:dyDescent="0.25">
      <c r="C12" s="27" t="s">
        <v>78</v>
      </c>
      <c r="D12" s="27" t="str">
        <f>RIGHT(D11,4)</f>
        <v>xlsx</v>
      </c>
    </row>
    <row r="14" spans="2:11" ht="15.75" x14ac:dyDescent="0.25">
      <c r="B14" s="118" t="s">
        <v>81</v>
      </c>
      <c r="C14" s="118"/>
      <c r="D14" s="118"/>
      <c r="E14" s="118"/>
      <c r="F14" s="118"/>
      <c r="G14" s="118"/>
      <c r="H14" s="118"/>
    </row>
    <row r="16" spans="2:11" ht="15.75" x14ac:dyDescent="0.25">
      <c r="C16" s="27" t="s">
        <v>77</v>
      </c>
      <c r="D16" s="119" t="s">
        <v>76</v>
      </c>
    </row>
    <row r="17" spans="2:9" ht="15.75" x14ac:dyDescent="0.25">
      <c r="C17" s="27" t="s">
        <v>78</v>
      </c>
      <c r="D17" s="119" t="str">
        <f>MID(D16,6,4)</f>
        <v>Tips</v>
      </c>
    </row>
    <row r="19" spans="2:9" ht="15.75" x14ac:dyDescent="0.25">
      <c r="B19" s="117" t="s">
        <v>82</v>
      </c>
      <c r="C19" s="117"/>
      <c r="D19" s="117"/>
      <c r="E19" s="117"/>
      <c r="F19" s="117"/>
      <c r="G19" s="117"/>
      <c r="H19" s="117"/>
      <c r="I19" s="117"/>
    </row>
    <row r="21" spans="2:9" ht="15.75" x14ac:dyDescent="0.25">
      <c r="C21" s="27" t="s">
        <v>77</v>
      </c>
      <c r="D21" s="119" t="s">
        <v>83</v>
      </c>
    </row>
    <row r="22" spans="2:9" ht="15.75" x14ac:dyDescent="0.25">
      <c r="C22" s="27" t="s">
        <v>78</v>
      </c>
      <c r="D22" s="119">
        <f>LEN(D21)</f>
        <v>12</v>
      </c>
    </row>
    <row r="24" spans="2:9" ht="15.75" x14ac:dyDescent="0.25">
      <c r="B24" s="118" t="s">
        <v>84</v>
      </c>
      <c r="C24" s="118"/>
      <c r="D24" s="118"/>
      <c r="E24" s="118"/>
      <c r="F24" s="118"/>
      <c r="G24" s="118"/>
      <c r="H24" s="118"/>
    </row>
    <row r="26" spans="2:9" ht="15.75" x14ac:dyDescent="0.25">
      <c r="C26" s="27" t="s">
        <v>77</v>
      </c>
      <c r="D26" s="119" t="s">
        <v>85</v>
      </c>
    </row>
    <row r="27" spans="2:9" ht="15.75" x14ac:dyDescent="0.25">
      <c r="C27" s="27" t="s">
        <v>78</v>
      </c>
      <c r="D27" s="119" t="str">
        <f>MID(D26,7,6)</f>
        <v>67890-</v>
      </c>
    </row>
  </sheetData>
  <mergeCells count="6">
    <mergeCell ref="B2:K2"/>
    <mergeCell ref="B4:K4"/>
    <mergeCell ref="B9:H9"/>
    <mergeCell ref="B14:H14"/>
    <mergeCell ref="B19:I19"/>
    <mergeCell ref="B24:H2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7D0AE-DC92-4BBC-864C-C0ACA0704273}">
  <dimension ref="B2:K33"/>
  <sheetViews>
    <sheetView topLeftCell="A19" workbookViewId="0">
      <selection activeCell="G38" sqref="G38"/>
    </sheetView>
  </sheetViews>
  <sheetFormatPr defaultRowHeight="15" x14ac:dyDescent="0.25"/>
  <cols>
    <col min="3" max="3" width="11" bestFit="1" customWidth="1"/>
    <col min="4" max="4" width="13.7109375" bestFit="1" customWidth="1"/>
    <col min="5" max="5" width="20.28515625" bestFit="1" customWidth="1"/>
    <col min="6" max="6" width="22" bestFit="1" customWidth="1"/>
    <col min="8" max="8" width="35.42578125" bestFit="1" customWidth="1"/>
  </cols>
  <sheetData>
    <row r="2" spans="2:11" ht="15.75" x14ac:dyDescent="0.25">
      <c r="B2" s="120" t="s">
        <v>86</v>
      </c>
      <c r="C2" s="120"/>
      <c r="D2" s="120"/>
      <c r="E2" s="120"/>
      <c r="F2" s="120"/>
      <c r="G2" s="120"/>
      <c r="H2" s="120"/>
      <c r="I2" s="120"/>
      <c r="J2" s="120"/>
      <c r="K2" s="120"/>
    </row>
    <row r="4" spans="2:11" ht="15.75" x14ac:dyDescent="0.25">
      <c r="B4" s="121" t="s">
        <v>87</v>
      </c>
      <c r="C4" s="121"/>
      <c r="D4" s="121"/>
      <c r="E4" s="121"/>
      <c r="F4" s="121"/>
      <c r="G4" s="121"/>
      <c r="H4" s="121"/>
      <c r="I4" s="105"/>
    </row>
    <row r="6" spans="2:11" ht="15.75" x14ac:dyDescent="0.25">
      <c r="C6" s="124" t="s">
        <v>88</v>
      </c>
      <c r="D6" s="124" t="s">
        <v>89</v>
      </c>
      <c r="E6" s="124" t="s">
        <v>68</v>
      </c>
    </row>
    <row r="7" spans="2:11" ht="15.75" x14ac:dyDescent="0.25">
      <c r="C7" s="124" t="s">
        <v>90</v>
      </c>
      <c r="D7" s="124" t="s">
        <v>91</v>
      </c>
      <c r="E7" s="124" t="str">
        <f>_xlfn.CONCAT(C7," ",D7)</f>
        <v>Hello World</v>
      </c>
    </row>
    <row r="9" spans="2:11" ht="15.75" x14ac:dyDescent="0.25">
      <c r="B9" s="122" t="s">
        <v>92</v>
      </c>
      <c r="C9" s="122"/>
      <c r="D9" s="122"/>
      <c r="E9" s="122"/>
      <c r="F9" s="122"/>
      <c r="G9" s="122"/>
      <c r="H9" s="122"/>
      <c r="I9" s="122"/>
      <c r="J9" s="122"/>
      <c r="K9" s="122"/>
    </row>
    <row r="11" spans="2:11" ht="15.75" x14ac:dyDescent="0.25">
      <c r="C11" s="124" t="s">
        <v>94</v>
      </c>
      <c r="D11" s="124" t="s">
        <v>95</v>
      </c>
      <c r="E11" s="124" t="s">
        <v>96</v>
      </c>
    </row>
    <row r="12" spans="2:11" ht="15.75" x14ac:dyDescent="0.25">
      <c r="C12" s="124" t="s">
        <v>97</v>
      </c>
      <c r="D12" s="124" t="s">
        <v>98</v>
      </c>
      <c r="E12" s="124" t="s">
        <v>99</v>
      </c>
      <c r="F12" s="124" t="str">
        <f>_xlfn.TEXTJOIN(", ",TRUE,C12,D12,E12)</f>
        <v>Apple, Banana, Cherry</v>
      </c>
    </row>
    <row r="14" spans="2:11" ht="15.75" x14ac:dyDescent="0.25">
      <c r="B14" s="122" t="s">
        <v>100</v>
      </c>
      <c r="C14" s="122"/>
      <c r="D14" s="122"/>
      <c r="E14" s="122"/>
      <c r="F14" s="122"/>
      <c r="G14" s="122"/>
      <c r="H14" s="122"/>
      <c r="I14" s="122"/>
      <c r="J14" s="122"/>
      <c r="K14" s="122"/>
    </row>
    <row r="16" spans="2:11" x14ac:dyDescent="0.25">
      <c r="D16" s="125" t="s">
        <v>101</v>
      </c>
      <c r="E16" s="125" t="s">
        <v>102</v>
      </c>
    </row>
    <row r="17" spans="2:8" x14ac:dyDescent="0.25">
      <c r="D17" s="125" t="s">
        <v>103</v>
      </c>
      <c r="E17" s="125">
        <v>2025</v>
      </c>
    </row>
    <row r="18" spans="2:8" x14ac:dyDescent="0.25">
      <c r="D18" s="125" t="s">
        <v>104</v>
      </c>
      <c r="E18" s="125" t="s">
        <v>106</v>
      </c>
    </row>
    <row r="19" spans="2:8" x14ac:dyDescent="0.25">
      <c r="D19" s="125" t="s">
        <v>105</v>
      </c>
      <c r="E19" s="125" t="s">
        <v>107</v>
      </c>
    </row>
    <row r="20" spans="2:8" x14ac:dyDescent="0.25">
      <c r="D20" s="125" t="s">
        <v>78</v>
      </c>
      <c r="E20" s="125" t="str">
        <f>E17&amp;" "&amp;E18&amp;" "&amp;E19</f>
        <v>2025 : Excel Functions</v>
      </c>
    </row>
    <row r="22" spans="2:8" ht="15.75" x14ac:dyDescent="0.25">
      <c r="B22" s="121" t="s">
        <v>108</v>
      </c>
      <c r="C22" s="121"/>
      <c r="D22" s="121"/>
      <c r="E22" s="121"/>
      <c r="F22" s="121"/>
    </row>
    <row r="24" spans="2:8" x14ac:dyDescent="0.25">
      <c r="C24" s="125" t="s">
        <v>93</v>
      </c>
      <c r="D24" s="125" t="s">
        <v>109</v>
      </c>
      <c r="E24" s="125" t="s">
        <v>110</v>
      </c>
      <c r="F24" s="125" t="s">
        <v>111</v>
      </c>
      <c r="G24" s="125" t="s">
        <v>112</v>
      </c>
      <c r="H24" s="125" t="s">
        <v>47</v>
      </c>
    </row>
    <row r="25" spans="2:8" x14ac:dyDescent="0.25">
      <c r="C25" s="125" t="s">
        <v>97</v>
      </c>
      <c r="D25" s="125" t="s">
        <v>99</v>
      </c>
      <c r="E25" s="125" t="s">
        <v>113</v>
      </c>
      <c r="F25" s="125" t="s">
        <v>113</v>
      </c>
      <c r="G25" s="125" t="s">
        <v>114</v>
      </c>
      <c r="H25" s="125" t="str">
        <f>_xlfn.TEXTJOIN(", ",TRUE,C25:G25)</f>
        <v>Apple, Cherry, Mango, Mango, Orange</v>
      </c>
    </row>
    <row r="28" spans="2:8" ht="15.75" x14ac:dyDescent="0.25">
      <c r="B28" s="123" t="s">
        <v>115</v>
      </c>
      <c r="C28" s="123"/>
      <c r="D28" s="123"/>
      <c r="E28" s="123"/>
      <c r="F28" s="123"/>
      <c r="G28" s="123"/>
      <c r="H28" s="123"/>
    </row>
    <row r="30" spans="2:8" x14ac:dyDescent="0.25">
      <c r="C30" s="125" t="s">
        <v>93</v>
      </c>
      <c r="D30" s="125" t="s">
        <v>116</v>
      </c>
      <c r="E30" s="125" t="s">
        <v>110</v>
      </c>
    </row>
    <row r="31" spans="2:8" x14ac:dyDescent="0.25">
      <c r="C31" s="125" t="s">
        <v>117</v>
      </c>
      <c r="D31" s="125" t="s">
        <v>118</v>
      </c>
      <c r="E31" s="125" t="str">
        <f>_xlfn.CONCAT(C31," ",D31)</f>
        <v xml:space="preserve">Maya  Gupta </v>
      </c>
    </row>
    <row r="32" spans="2:8" x14ac:dyDescent="0.25">
      <c r="C32" s="125" t="s">
        <v>119</v>
      </c>
      <c r="D32" s="125" t="s">
        <v>120</v>
      </c>
      <c r="E32" s="125" t="str">
        <f t="shared" ref="E32:E33" si="0">_xlfn.CONCAT(C32," ",D32)</f>
        <v xml:space="preserve">Raj  Singh </v>
      </c>
    </row>
    <row r="33" spans="3:5" x14ac:dyDescent="0.25">
      <c r="C33" s="125" t="s">
        <v>121</v>
      </c>
      <c r="D33" s="125" t="s">
        <v>122</v>
      </c>
      <c r="E33" s="125" t="str">
        <f t="shared" si="0"/>
        <v xml:space="preserve">Deepesh  Sharma </v>
      </c>
    </row>
  </sheetData>
  <mergeCells count="6">
    <mergeCell ref="B22:F22"/>
    <mergeCell ref="B28:H28"/>
    <mergeCell ref="B2:K2"/>
    <mergeCell ref="B9:K9"/>
    <mergeCell ref="B4:H4"/>
    <mergeCell ref="B14:K1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0A95B-7738-4A53-B607-7568B93E267F}">
  <dimension ref="B2:Q28"/>
  <sheetViews>
    <sheetView tabSelected="1" workbookViewId="0">
      <selection activeCell="B22" sqref="B22"/>
    </sheetView>
  </sheetViews>
  <sheetFormatPr defaultRowHeight="15" x14ac:dyDescent="0.25"/>
  <cols>
    <col min="4" max="4" width="17.85546875" bestFit="1" customWidth="1"/>
  </cols>
  <sheetData>
    <row r="2" spans="2:14" ht="15.75" x14ac:dyDescent="0.25">
      <c r="B2" s="126" t="s">
        <v>123</v>
      </c>
      <c r="C2" s="126"/>
      <c r="D2" s="126"/>
      <c r="E2" s="126"/>
      <c r="F2" s="126"/>
    </row>
    <row r="4" spans="2:14" ht="15.75" x14ac:dyDescent="0.25">
      <c r="B4" s="127" t="s">
        <v>124</v>
      </c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</row>
    <row r="6" spans="2:14" ht="15.75" x14ac:dyDescent="0.25">
      <c r="B6" s="128" t="s">
        <v>126</v>
      </c>
      <c r="C6" s="129" t="s">
        <v>127</v>
      </c>
      <c r="D6" s="130"/>
      <c r="E6" s="130"/>
      <c r="F6" s="130"/>
      <c r="G6" s="130"/>
      <c r="H6" s="130"/>
      <c r="I6" s="130"/>
      <c r="J6" s="130"/>
      <c r="K6" s="130"/>
      <c r="L6" s="130"/>
      <c r="M6" s="130"/>
      <c r="N6" s="131"/>
    </row>
    <row r="7" spans="2:14" ht="15.75" x14ac:dyDescent="0.25">
      <c r="C7" s="132" t="s">
        <v>125</v>
      </c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4"/>
    </row>
    <row r="10" spans="2:14" ht="15.75" x14ac:dyDescent="0.25">
      <c r="B10" s="138" t="s">
        <v>128</v>
      </c>
      <c r="C10" s="139"/>
      <c r="D10" s="139"/>
      <c r="E10" s="139"/>
      <c r="F10" s="139"/>
      <c r="G10" s="139"/>
      <c r="H10" s="139"/>
      <c r="I10" s="139"/>
      <c r="J10" s="139"/>
      <c r="K10" s="139"/>
      <c r="L10" s="139"/>
      <c r="M10" s="139"/>
      <c r="N10" s="140"/>
    </row>
    <row r="12" spans="2:14" x14ac:dyDescent="0.25">
      <c r="C12" s="141" t="s">
        <v>103</v>
      </c>
      <c r="D12" s="142">
        <v>45818</v>
      </c>
    </row>
    <row r="13" spans="2:14" x14ac:dyDescent="0.25">
      <c r="C13" s="141" t="s">
        <v>78</v>
      </c>
      <c r="D13" s="143">
        <f ca="1">D12-TODAY()</f>
        <v>-191</v>
      </c>
    </row>
    <row r="15" spans="2:14" ht="15.75" x14ac:dyDescent="0.25">
      <c r="B15" s="135" t="s">
        <v>130</v>
      </c>
      <c r="C15" s="136"/>
      <c r="D15" s="136"/>
      <c r="E15" s="136"/>
      <c r="F15" s="136"/>
      <c r="G15" s="136"/>
      <c r="H15" s="136"/>
      <c r="I15" s="136"/>
      <c r="J15" s="136"/>
      <c r="K15" s="136"/>
      <c r="L15" s="136"/>
      <c r="M15" s="137"/>
    </row>
    <row r="17" spans="2:17" x14ac:dyDescent="0.25">
      <c r="C17" s="141" t="s">
        <v>47</v>
      </c>
      <c r="D17" s="144">
        <f ca="1">NOW()</f>
        <v>46009.910962731483</v>
      </c>
    </row>
    <row r="20" spans="2:17" ht="15.75" x14ac:dyDescent="0.25">
      <c r="B20" s="135" t="s">
        <v>131</v>
      </c>
      <c r="C20" s="136"/>
      <c r="D20" s="136"/>
      <c r="E20" s="136"/>
      <c r="F20" s="136"/>
      <c r="G20" s="136"/>
      <c r="H20" s="136"/>
      <c r="I20" s="136"/>
      <c r="J20" s="136"/>
      <c r="K20" s="137"/>
    </row>
    <row r="22" spans="2:17" x14ac:dyDescent="0.25">
      <c r="B22" s="22" t="s">
        <v>129</v>
      </c>
      <c r="C22" s="146" t="s">
        <v>132</v>
      </c>
      <c r="D22" s="147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48"/>
    </row>
    <row r="23" spans="2:17" ht="15.75" x14ac:dyDescent="0.25">
      <c r="C23" s="149" t="s">
        <v>134</v>
      </c>
      <c r="D23" s="145"/>
      <c r="E23" s="145"/>
      <c r="F23" s="145"/>
      <c r="G23" s="145"/>
      <c r="H23" s="145"/>
      <c r="I23" s="145"/>
      <c r="J23" s="145"/>
      <c r="K23" s="145"/>
      <c r="L23" s="145"/>
      <c r="M23" s="145"/>
      <c r="N23" s="145"/>
      <c r="O23" s="145"/>
      <c r="P23" s="145"/>
      <c r="Q23" s="150"/>
    </row>
    <row r="24" spans="2:17" x14ac:dyDescent="0.25">
      <c r="C24" s="151" t="s">
        <v>133</v>
      </c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3"/>
    </row>
    <row r="26" spans="2:17" ht="15.75" x14ac:dyDescent="0.25">
      <c r="B26" s="135" t="s">
        <v>135</v>
      </c>
      <c r="C26" s="136"/>
      <c r="D26" s="136"/>
      <c r="E26" s="136"/>
      <c r="F26" s="136"/>
      <c r="G26" s="136"/>
      <c r="H26" s="136"/>
      <c r="I26" s="136"/>
      <c r="J26" s="136"/>
      <c r="K26" s="136"/>
      <c r="L26" s="136"/>
      <c r="M26" s="136"/>
      <c r="N26" s="137"/>
    </row>
    <row r="28" spans="2:17" ht="15.75" x14ac:dyDescent="0.25">
      <c r="B28" s="22" t="s">
        <v>129</v>
      </c>
      <c r="C28" s="154" t="s">
        <v>136</v>
      </c>
      <c r="D28" s="155"/>
      <c r="E28" s="155"/>
      <c r="F28" s="155"/>
      <c r="G28" s="155"/>
      <c r="H28" s="156"/>
    </row>
  </sheetData>
  <mergeCells count="12">
    <mergeCell ref="B20:K20"/>
    <mergeCell ref="C23:Q23"/>
    <mergeCell ref="C22:Q22"/>
    <mergeCell ref="C24:Q24"/>
    <mergeCell ref="B26:N26"/>
    <mergeCell ref="C28:H28"/>
    <mergeCell ref="B2:F2"/>
    <mergeCell ref="B4:N4"/>
    <mergeCell ref="C6:N6"/>
    <mergeCell ref="C7:N7"/>
    <mergeCell ref="B10:N10"/>
    <mergeCell ref="B15:M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Q.No.1</vt:lpstr>
      <vt:lpstr>Q.No.2</vt:lpstr>
      <vt:lpstr>Q.N0.3</vt:lpstr>
      <vt:lpstr>Q.No.4</vt:lpstr>
      <vt:lpstr>Q.No.5</vt:lpstr>
      <vt:lpstr>Q.No.6</vt:lpstr>
      <vt:lpstr>Q.No.7</vt:lpstr>
      <vt:lpstr>Q.No.8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Muzammil Ansari</dc:creator>
  <cp:lastModifiedBy>Muzammil Ansari</cp:lastModifiedBy>
  <dcterms:created xsi:type="dcterms:W3CDTF">2025-12-17T20:07:43Z</dcterms:created>
  <dcterms:modified xsi:type="dcterms:W3CDTF">2025-12-18T16:27:52Z</dcterms:modified>
</cp:coreProperties>
</file>