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773C914-1FB2-4888-ABDC-5ED389F61589}" xr6:coauthVersionLast="47" xr6:coauthVersionMax="47" xr10:uidLastSave="{00000000-0000-0000-0000-000000000000}"/>
  <bookViews>
    <workbookView xWindow="-120" yWindow="-120" windowWidth="20730" windowHeight="11160" activeTab="7" xr2:uid="{0E975425-3409-4B35-8512-9CAC329C135E}"/>
  </bookViews>
  <sheets>
    <sheet name="Q.No.1" sheetId="2" r:id="rId1"/>
    <sheet name="Q.No.2" sheetId="3" r:id="rId2"/>
    <sheet name="Q.No.3" sheetId="4" r:id="rId3"/>
    <sheet name="Q,No.4" sheetId="5" r:id="rId4"/>
    <sheet name="Q.No.5" sheetId="6" r:id="rId5"/>
    <sheet name="Q.No.6" sheetId="7" r:id="rId6"/>
    <sheet name="Q.No.7" sheetId="10" r:id="rId7"/>
    <sheet name="Q.no.8" sheetId="11" r:id="rId8"/>
  </sheets>
  <definedNames>
    <definedName name="_xlnm._FilterDatabase" localSheetId="3" hidden="1">'Q,No.4'!$A$1:$G$51</definedName>
  </definedNames>
  <calcPr calcId="191029"/>
  <pivotCaches>
    <pivotCache cacheId="19"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1" l="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J5"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2" i="6"/>
  <c r="K5" i="5"/>
  <c r="G12" i="4"/>
  <c r="E14" i="3"/>
</calcChain>
</file>

<file path=xl/sharedStrings.xml><?xml version="1.0" encoding="utf-8"?>
<sst xmlns="http://schemas.openxmlformats.org/spreadsheetml/2006/main" count="481" uniqueCount="118">
  <si>
    <t>Type</t>
  </si>
  <si>
    <t>How it looks</t>
  </si>
  <si>
    <t>What changes when copied</t>
  </si>
  <si>
    <t>Relative</t>
  </si>
  <si>
    <t>Absolute</t>
  </si>
  <si>
    <t>Mixed</t>
  </si>
  <si>
    <t>A1</t>
  </si>
  <si>
    <t>$A$1</t>
  </si>
  <si>
    <t>$A1 or A$1</t>
  </si>
  <si>
    <t>Both row and column change. </t>
  </si>
  <si>
    <t>Neither row nor column change. </t>
  </si>
  <si>
    <t>Only row or only column changes. </t>
  </si>
  <si>
    <t>Typical use case</t>
  </si>
  <si>
    <t>Same pattern applied down a list or across a table. </t>
  </si>
  <si>
    <t>When copying across rows and columns but needing one dimension fixed. </t>
  </si>
  <si>
    <t>Always refer to a fixed value like a tax rate or constant. </t>
  </si>
  <si>
    <t xml:space="preserve"> Question No. 1 - explain the difference between Relative , Absolute and Mixed Cell Referencing.</t>
  </si>
  <si>
    <r>
      <rPr>
        <b/>
        <sz val="12"/>
        <color theme="1"/>
        <rFont val="Calibri"/>
        <family val="2"/>
        <scheme val="minor"/>
      </rPr>
      <t>Mixed referencing -</t>
    </r>
    <r>
      <rPr>
        <sz val="12"/>
        <color theme="1"/>
        <rFont val="Calibri"/>
        <family val="2"/>
        <scheme val="minor"/>
      </rPr>
      <t xml:space="preserve"> A mixed reference locks either the row or the column, but not both. It uses a dollar sign for only one part, such as $A1 (fixed column A, changing row) or A$1 (changing column, fixed row), which is useful in tables and multiplication grids</t>
    </r>
  </si>
  <si>
    <r>
      <rPr>
        <b/>
        <sz val="12"/>
        <color theme="1"/>
        <rFont val="Calibri"/>
        <family val="2"/>
        <scheme val="minor"/>
      </rPr>
      <t>Absolute referencing</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An absolute reference does not change when the formula is copied to another cell. It is written with dollar signs before both column and row, for example $A$1, so the formula always points to that fixed cell.</t>
    </r>
  </si>
  <si>
    <r>
      <rPr>
        <b/>
        <sz val="12"/>
        <color theme="1"/>
        <rFont val="Calibri"/>
        <family val="2"/>
        <scheme val="minor"/>
      </rPr>
      <t>Relative referencing</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A relative reference changes automatically when the formula is copied to another cell. It is written without any dollar sign, for example 
A1, and will shift its row and column based on where the formula is moved or copied.</t>
    </r>
  </si>
  <si>
    <r>
      <rPr>
        <b/>
        <sz val="12"/>
        <color theme="1"/>
        <rFont val="Calibri"/>
        <family val="2"/>
        <scheme val="minor"/>
      </rPr>
      <t>Answer</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Relative, absolute, and mixed references control what happens to a cell address when a formula is copied to another cell.Understanding them makes formulas flexible and accurate in Excel.</t>
    </r>
  </si>
  <si>
    <t>Question No.2- Write a formula to calculate the total sales of Car and Bicyle only only.</t>
  </si>
  <si>
    <t>You have the following dataset:</t>
  </si>
  <si>
    <t>Vehicle</t>
  </si>
  <si>
    <t>Price</t>
  </si>
  <si>
    <t>Car</t>
  </si>
  <si>
    <t>Bicycle</t>
  </si>
  <si>
    <t>Auto-Rickshaw</t>
  </si>
  <si>
    <t>Total Sales of Car and Bicycle</t>
  </si>
  <si>
    <t>Formula - SUMIF(D7:D9,"car",E7:E9)+SUMIF(D7:D9,"bicycle",E7:E9)</t>
  </si>
  <si>
    <t>Question No.3 - Using the data below, write a formula to calculate the average sales of items priced above 100 but less than 300</t>
  </si>
  <si>
    <t>Item</t>
  </si>
  <si>
    <t>Sales</t>
  </si>
  <si>
    <t>Item A</t>
  </si>
  <si>
    <t>Item B</t>
  </si>
  <si>
    <t>Item C</t>
  </si>
  <si>
    <t>Average sales of items greater than 100 but less than 300</t>
  </si>
  <si>
    <t>Formula - AVERAGEIFS(Table2[Sales],Table2[Price],"&gt;100",Table2[Price],"&lt;300")</t>
  </si>
  <si>
    <t>OrderID</t>
  </si>
  <si>
    <t>CustomerName</t>
  </si>
  <si>
    <t>Region</t>
  </si>
  <si>
    <t>Product</t>
  </si>
  <si>
    <t>Quantity</t>
  </si>
  <si>
    <t>UnitPrice</t>
  </si>
  <si>
    <t>OrderDate</t>
  </si>
  <si>
    <t>Amit Sharma</t>
  </si>
  <si>
    <t>North</t>
  </si>
  <si>
    <t>Notebook</t>
  </si>
  <si>
    <t>Neha Verma</t>
  </si>
  <si>
    <t>South</t>
  </si>
  <si>
    <t>Pen</t>
  </si>
  <si>
    <t>Rahul Singh</t>
  </si>
  <si>
    <t>East</t>
  </si>
  <si>
    <t>Marker</t>
  </si>
  <si>
    <t>Pooja Mehta</t>
  </si>
  <si>
    <t>West</t>
  </si>
  <si>
    <t>Ankit Jain</t>
  </si>
  <si>
    <t>Pencil</t>
  </si>
  <si>
    <t>Sneha Patel</t>
  </si>
  <si>
    <t>Vikas Gupta</t>
  </si>
  <si>
    <t>Eraser</t>
  </si>
  <si>
    <t>Meera Nair</t>
  </si>
  <si>
    <t>Anjali Rao</t>
  </si>
  <si>
    <t>Manoj Das</t>
  </si>
  <si>
    <t>Ritika Sen</t>
  </si>
  <si>
    <t>Karan Malhotra</t>
  </si>
  <si>
    <t>Aryan Joshi</t>
  </si>
  <si>
    <t>Divya Kapoor</t>
  </si>
  <si>
    <t>Sahil Arora</t>
  </si>
  <si>
    <t>Muskan Jain</t>
  </si>
  <si>
    <t>Rohan Gupta</t>
  </si>
  <si>
    <t>Nidhi Sharma</t>
  </si>
  <si>
    <t>Tarun Verma</t>
  </si>
  <si>
    <t>Simran Kaur</t>
  </si>
  <si>
    <t>Deepak Rao</t>
  </si>
  <si>
    <t>Payal Mehta</t>
  </si>
  <si>
    <t>Aditya Singh</t>
  </si>
  <si>
    <t>Shreya Nair</t>
  </si>
  <si>
    <t>Sanjay Kumar</t>
  </si>
  <si>
    <t>Aarti Sharma</t>
  </si>
  <si>
    <t>Rajesh Patel</t>
  </si>
  <si>
    <t>Preeti Joshi</t>
  </si>
  <si>
    <t>Anurag Mishra</t>
  </si>
  <si>
    <t>Sanya Kapoor</t>
  </si>
  <si>
    <t>Harsh Yadav</t>
  </si>
  <si>
    <t>Kajal Rani</t>
  </si>
  <si>
    <t>Varun Sharma</t>
  </si>
  <si>
    <t>Swati Arora</t>
  </si>
  <si>
    <t>Akhil Jain</t>
  </si>
  <si>
    <t>Priyanka Das</t>
  </si>
  <si>
    <t>Ravi Nair</t>
  </si>
  <si>
    <t>Komal Singh</t>
  </si>
  <si>
    <t>Ayesha Khan</t>
  </si>
  <si>
    <t>Arjun Mehta</t>
  </si>
  <si>
    <t>Sonali Gupta</t>
  </si>
  <si>
    <t>Neeraj Kapoor</t>
  </si>
  <si>
    <t>Shruti Sharma</t>
  </si>
  <si>
    <t>Yash Arora</t>
  </si>
  <si>
    <t>Manish Das</t>
  </si>
  <si>
    <t>Rupal Nair</t>
  </si>
  <si>
    <t>Sonia Verma</t>
  </si>
  <si>
    <t>Kunal Singh</t>
  </si>
  <si>
    <t>Ritika Jain</t>
  </si>
  <si>
    <t>Vivek Malhotra</t>
  </si>
  <si>
    <t>Question no. 4 - Count how many customer names are recorded.</t>
  </si>
  <si>
    <t>Total customer recorded</t>
  </si>
  <si>
    <t>Formula - COUNTA(B2:B51)</t>
  </si>
  <si>
    <t>Question no.5 -Calculate the Total Sales for each row using a formula</t>
  </si>
  <si>
    <t>Total sales for each row</t>
  </si>
  <si>
    <t xml:space="preserve"> </t>
  </si>
  <si>
    <t>Total sales</t>
  </si>
  <si>
    <t>Question No.6 - Calculate the total sales of Notebooks in the North region only</t>
  </si>
  <si>
    <t>Total sales of Notebook in the north region only</t>
  </si>
  <si>
    <t>Row Labels</t>
  </si>
  <si>
    <t>Grand Total</t>
  </si>
  <si>
    <t>Sum of Total sales</t>
  </si>
  <si>
    <t>Question No.7 - Create a column chart showing total sales by product.</t>
  </si>
  <si>
    <t>Question No.8 -Insert a line chart showing daily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</si>
</sst>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theme="1"/>
      <name val="Segoe UI"/>
      <family val="2"/>
    </font>
    <font>
      <sz val="12"/>
      <color theme="1"/>
      <name val="Calibri"/>
      <family val="2"/>
      <scheme val="minor"/>
    </font>
    <font>
      <sz val="12"/>
      <color theme="1"/>
      <name val="Segoe UI"/>
      <family val="2"/>
    </font>
    <font>
      <b/>
      <sz val="11"/>
      <color theme="1"/>
      <name val="Calibri"/>
      <family val="2"/>
    </font>
    <font>
      <sz val="11"/>
      <color theme="1"/>
      <name val="Calibri"/>
      <family val="2"/>
    </font>
  </fonts>
  <fills count="12">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diagonal/>
    </border>
  </borders>
  <cellStyleXfs count="1">
    <xf numFmtId="0" fontId="0" fillId="0" borderId="0"/>
  </cellStyleXfs>
  <cellXfs count="49">
    <xf numFmtId="0" fontId="0" fillId="0" borderId="0" xfId="0"/>
    <xf numFmtId="0" fontId="0" fillId="0" borderId="0" xfId="0" applyAlignment="1"/>
    <xf numFmtId="0" fontId="0" fillId="0" borderId="0" xfId="0" applyAlignment="1">
      <alignment vertical="center"/>
    </xf>
    <xf numFmtId="0" fontId="4" fillId="0" borderId="0" xfId="0" applyFont="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xf>
    <xf numFmtId="0" fontId="5" fillId="3" borderId="1" xfId="0" applyFont="1" applyFill="1" applyBorder="1" applyAlignment="1">
      <alignment horizont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2" fillId="2" borderId="1" xfId="0" applyFont="1" applyFill="1" applyBorder="1" applyAlignment="1">
      <alignment horizontal="center"/>
    </xf>
    <xf numFmtId="0" fontId="0" fillId="0" borderId="1" xfId="0" applyBorder="1"/>
    <xf numFmtId="0" fontId="0" fillId="0" borderId="0" xfId="0" applyFill="1" applyBorder="1" applyAlignment="1">
      <alignment vertical="center"/>
    </xf>
    <xf numFmtId="0" fontId="0" fillId="0" borderId="8"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4" borderId="1" xfId="0" applyFill="1" applyBorder="1"/>
    <xf numFmtId="0" fontId="0" fillId="4" borderId="1" xfId="0" applyFill="1" applyBorder="1" applyAlignment="1">
      <alignment horizontal="center" vertical="center"/>
    </xf>
    <xf numFmtId="0" fontId="0" fillId="0" borderId="0" xfId="0" applyAlignment="1">
      <alignment wrapText="1"/>
    </xf>
    <xf numFmtId="0" fontId="1" fillId="0" borderId="0" xfId="0" applyFont="1" applyAlignment="1">
      <alignment horizontal="center"/>
    </xf>
    <xf numFmtId="0" fontId="0" fillId="0" borderId="0" xfId="0" applyAlignment="1">
      <alignment horizontal="left"/>
    </xf>
    <xf numFmtId="0" fontId="0" fillId="0" borderId="0" xfId="0" applyAlignment="1">
      <alignment horizontal="left" vertical="center"/>
    </xf>
    <xf numFmtId="0" fontId="7" fillId="0" borderId="9" xfId="0" applyFont="1" applyBorder="1" applyAlignment="1">
      <alignment horizontal="right" wrapText="1"/>
    </xf>
    <xf numFmtId="0" fontId="7" fillId="0" borderId="9" xfId="0" applyFont="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7" fillId="0" borderId="1" xfId="0" applyFont="1" applyBorder="1" applyAlignment="1">
      <alignment horizontal="right" wrapText="1"/>
    </xf>
    <xf numFmtId="0" fontId="7" fillId="0" borderId="1" xfId="0" applyFont="1" applyBorder="1" applyAlignment="1">
      <alignment wrapText="1"/>
    </xf>
    <xf numFmtId="14" fontId="7" fillId="0" borderId="1" xfId="0" applyNumberFormat="1" applyFont="1" applyBorder="1" applyAlignment="1">
      <alignment horizontal="right" wrapText="1"/>
    </xf>
    <xf numFmtId="0" fontId="6" fillId="5" borderId="4" xfId="0" applyFont="1" applyFill="1" applyBorder="1" applyAlignment="1">
      <alignment horizontal="center" wrapText="1"/>
    </xf>
    <xf numFmtId="0" fontId="6" fillId="5" borderId="0" xfId="0" applyFont="1" applyFill="1" applyBorder="1" applyAlignment="1">
      <alignment horizontal="center" wrapText="1"/>
    </xf>
    <xf numFmtId="0" fontId="6" fillId="7" borderId="1" xfId="0" applyFont="1" applyFill="1" applyBorder="1" applyAlignment="1">
      <alignment horizontal="center" vertical="center" wrapText="1"/>
    </xf>
    <xf numFmtId="0" fontId="0" fillId="6" borderId="1" xfId="0" applyFill="1" applyBorder="1"/>
    <xf numFmtId="0" fontId="6" fillId="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0" fillId="7" borderId="1" xfId="0" applyFill="1" applyBorder="1" applyAlignment="1">
      <alignment horizontal="center" vertical="center"/>
    </xf>
    <xf numFmtId="0" fontId="1" fillId="7" borderId="0" xfId="0" applyFont="1" applyFill="1" applyAlignment="1">
      <alignment horizontal="center" vertical="center"/>
    </xf>
    <xf numFmtId="0" fontId="1" fillId="8" borderId="11" xfId="0" applyFont="1" applyFill="1" applyBorder="1" applyAlignment="1"/>
    <xf numFmtId="0" fontId="0" fillId="9" borderId="1" xfId="0" applyFill="1" applyBorder="1" applyAlignment="1">
      <alignment horizontal="center" vertical="center"/>
    </xf>
    <xf numFmtId="0" fontId="6" fillId="10" borderId="1" xfId="0" applyFont="1" applyFill="1" applyBorder="1" applyAlignment="1">
      <alignment horizontal="center" vertical="center" wrapText="1"/>
    </xf>
    <xf numFmtId="0" fontId="6" fillId="10" borderId="9" xfId="0" applyFont="1" applyFill="1" applyBorder="1" applyAlignment="1">
      <alignment wrapText="1"/>
    </xf>
    <xf numFmtId="0" fontId="6" fillId="10" borderId="10" xfId="0" applyFont="1" applyFill="1" applyBorder="1" applyAlignment="1">
      <alignment wrapText="1"/>
    </xf>
    <xf numFmtId="0" fontId="0" fillId="5" borderId="1" xfId="0" applyFill="1" applyBorder="1" applyAlignment="1">
      <alignment horizontal="left"/>
    </xf>
    <xf numFmtId="0" fontId="0" fillId="11" borderId="1" xfId="0" applyFill="1" applyBorder="1"/>
    <xf numFmtId="0" fontId="0" fillId="11" borderId="1" xfId="0" applyFill="1" applyBorder="1" applyAlignment="1">
      <alignment horizontal="center"/>
    </xf>
  </cellXfs>
  <cellStyles count="1">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Basics Assignment.xlsx]Q.No.7!PivotTable6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Q.No.7!$A$4:$A$9</c:f>
              <c:strCache>
                <c:ptCount val="5"/>
                <c:pt idx="0">
                  <c:v>Eraser</c:v>
                </c:pt>
                <c:pt idx="1">
                  <c:v>Marker</c:v>
                </c:pt>
                <c:pt idx="2">
                  <c:v>Notebook</c:v>
                </c:pt>
                <c:pt idx="3">
                  <c:v>Pen</c:v>
                </c:pt>
                <c:pt idx="4">
                  <c:v>Pencil</c:v>
                </c:pt>
              </c:strCache>
            </c:strRef>
          </c:cat>
          <c:val>
            <c:numRef>
              <c:f>Q.No.7!$B$4:$B$9</c:f>
              <c:numCache>
                <c:formatCode>General</c:formatCode>
                <c:ptCount val="5"/>
                <c:pt idx="0">
                  <c:v>1928</c:v>
                </c:pt>
                <c:pt idx="1">
                  <c:v>3650</c:v>
                </c:pt>
                <c:pt idx="2">
                  <c:v>7550</c:v>
                </c:pt>
                <c:pt idx="3">
                  <c:v>2180</c:v>
                </c:pt>
                <c:pt idx="4">
                  <c:v>1235</c:v>
                </c:pt>
              </c:numCache>
            </c:numRef>
          </c:val>
          <c:extLst>
            <c:ext xmlns:c16="http://schemas.microsoft.com/office/drawing/2014/chart" uri="{C3380CC4-5D6E-409C-BE32-E72D297353CC}">
              <c16:uniqueId val="{00000000-4CD3-4407-AF1D-1B5B4C114685}"/>
            </c:ext>
          </c:extLst>
        </c:ser>
        <c:dLbls>
          <c:dLblPos val="outEnd"/>
          <c:showLegendKey val="0"/>
          <c:showVal val="1"/>
          <c:showCatName val="0"/>
          <c:showSerName val="0"/>
          <c:showPercent val="0"/>
          <c:showBubbleSize val="0"/>
        </c:dLbls>
        <c:gapWidth val="219"/>
        <c:overlap val="-27"/>
        <c:axId val="1614484912"/>
        <c:axId val="1614465232"/>
      </c:barChart>
      <c:catAx>
        <c:axId val="1614484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Sales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65232"/>
        <c:crosses val="autoZero"/>
        <c:auto val="1"/>
        <c:lblAlgn val="ctr"/>
        <c:lblOffset val="100"/>
        <c:noMultiLvlLbl val="0"/>
      </c:catAx>
      <c:valAx>
        <c:axId val="161446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Product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Daily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Q.no.8!$H$1</c:f>
              <c:strCache>
                <c:ptCount val="1"/>
                <c:pt idx="0">
                  <c:v>Total sales</c:v>
                </c:pt>
              </c:strCache>
            </c:strRef>
          </c:tx>
          <c:spPr>
            <a:ln w="28575" cap="rnd">
              <a:solidFill>
                <a:schemeClr val="accent1"/>
              </a:solidFill>
              <a:round/>
            </a:ln>
            <a:effectLst/>
          </c:spPr>
          <c:marker>
            <c:symbol val="none"/>
          </c:marker>
          <c:cat>
            <c:numRef>
              <c:f>Q.no.8!$G$2:$G$51</c:f>
              <c:numCache>
                <c:formatCode>m/d/yyyy</c:formatCode>
                <c:ptCount val="50"/>
                <c:pt idx="0">
                  <c:v>45296</c:v>
                </c:pt>
                <c:pt idx="1">
                  <c:v>45297</c:v>
                </c:pt>
                <c:pt idx="2">
                  <c:v>45298</c:v>
                </c:pt>
                <c:pt idx="3">
                  <c:v>45299</c:v>
                </c:pt>
                <c:pt idx="4">
                  <c:v>45301</c:v>
                </c:pt>
                <c:pt idx="5">
                  <c:v>45302</c:v>
                </c:pt>
                <c:pt idx="6">
                  <c:v>45304</c:v>
                </c:pt>
                <c:pt idx="7">
                  <c:v>45306</c:v>
                </c:pt>
                <c:pt idx="8">
                  <c:v>45308</c:v>
                </c:pt>
                <c:pt idx="9">
                  <c:v>45309</c:v>
                </c:pt>
                <c:pt idx="10">
                  <c:v>45310</c:v>
                </c:pt>
                <c:pt idx="11">
                  <c:v>45311</c:v>
                </c:pt>
                <c:pt idx="12">
                  <c:v>45313</c:v>
                </c:pt>
                <c:pt idx="13">
                  <c:v>45314</c:v>
                </c:pt>
                <c:pt idx="14">
                  <c:v>45315</c:v>
                </c:pt>
                <c:pt idx="15">
                  <c:v>45317</c:v>
                </c:pt>
                <c:pt idx="16">
                  <c:v>45319</c:v>
                </c:pt>
                <c:pt idx="17">
                  <c:v>45320</c:v>
                </c:pt>
                <c:pt idx="18">
                  <c:v>45321</c:v>
                </c:pt>
                <c:pt idx="19">
                  <c:v>45323</c:v>
                </c:pt>
                <c:pt idx="20">
                  <c:v>45324</c:v>
                </c:pt>
                <c:pt idx="21">
                  <c:v>45325</c:v>
                </c:pt>
                <c:pt idx="22">
                  <c:v>45326</c:v>
                </c:pt>
                <c:pt idx="23">
                  <c:v>45328</c:v>
                </c:pt>
                <c:pt idx="24">
                  <c:v>45329</c:v>
                </c:pt>
                <c:pt idx="25">
                  <c:v>45330</c:v>
                </c:pt>
                <c:pt idx="26">
                  <c:v>45331</c:v>
                </c:pt>
                <c:pt idx="27">
                  <c:v>45332</c:v>
                </c:pt>
                <c:pt idx="28">
                  <c:v>45334</c:v>
                </c:pt>
                <c:pt idx="29">
                  <c:v>45335</c:v>
                </c:pt>
                <c:pt idx="30">
                  <c:v>45336</c:v>
                </c:pt>
                <c:pt idx="31">
                  <c:v>45338</c:v>
                </c:pt>
                <c:pt idx="32">
                  <c:v>45339</c:v>
                </c:pt>
                <c:pt idx="33">
                  <c:v>45340</c:v>
                </c:pt>
                <c:pt idx="34">
                  <c:v>45341</c:v>
                </c:pt>
                <c:pt idx="35">
                  <c:v>45343</c:v>
                </c:pt>
                <c:pt idx="36">
                  <c:v>45344</c:v>
                </c:pt>
                <c:pt idx="37">
                  <c:v>45345</c:v>
                </c:pt>
                <c:pt idx="38">
                  <c:v>45347</c:v>
                </c:pt>
                <c:pt idx="39">
                  <c:v>45348</c:v>
                </c:pt>
                <c:pt idx="40">
                  <c:v>45349</c:v>
                </c:pt>
                <c:pt idx="41">
                  <c:v>45350</c:v>
                </c:pt>
                <c:pt idx="42">
                  <c:v>45352</c:v>
                </c:pt>
                <c:pt idx="43">
                  <c:v>45353</c:v>
                </c:pt>
                <c:pt idx="44">
                  <c:v>45354</c:v>
                </c:pt>
                <c:pt idx="45">
                  <c:v>45355</c:v>
                </c:pt>
                <c:pt idx="46">
                  <c:v>45356</c:v>
                </c:pt>
                <c:pt idx="47">
                  <c:v>45357</c:v>
                </c:pt>
                <c:pt idx="48">
                  <c:v>45358</c:v>
                </c:pt>
                <c:pt idx="49">
                  <c:v>45359</c:v>
                </c:pt>
              </c:numCache>
            </c:numRef>
          </c:cat>
          <c:val>
            <c:numRef>
              <c:f>Q.no.8!$H$2:$H$51</c:f>
              <c:numCache>
                <c:formatCode>General</c:formatCode>
                <c:ptCount val="50"/>
                <c:pt idx="0">
                  <c:v>2264800</c:v>
                </c:pt>
                <c:pt idx="1">
                  <c:v>452970</c:v>
                </c:pt>
                <c:pt idx="2">
                  <c:v>1132450</c:v>
                </c:pt>
                <c:pt idx="3">
                  <c:v>2264950</c:v>
                </c:pt>
                <c:pt idx="4">
                  <c:v>226505</c:v>
                </c:pt>
                <c:pt idx="5">
                  <c:v>2265100</c:v>
                </c:pt>
                <c:pt idx="6">
                  <c:v>362432</c:v>
                </c:pt>
                <c:pt idx="7">
                  <c:v>453060</c:v>
                </c:pt>
                <c:pt idx="8">
                  <c:v>1132700</c:v>
                </c:pt>
                <c:pt idx="9">
                  <c:v>2265450</c:v>
                </c:pt>
                <c:pt idx="10">
                  <c:v>226550</c:v>
                </c:pt>
                <c:pt idx="11">
                  <c:v>362488</c:v>
                </c:pt>
                <c:pt idx="12">
                  <c:v>2265650</c:v>
                </c:pt>
                <c:pt idx="13">
                  <c:v>453140</c:v>
                </c:pt>
                <c:pt idx="14">
                  <c:v>1132875</c:v>
                </c:pt>
                <c:pt idx="15">
                  <c:v>226585</c:v>
                </c:pt>
                <c:pt idx="16">
                  <c:v>362552</c:v>
                </c:pt>
                <c:pt idx="17">
                  <c:v>2266000</c:v>
                </c:pt>
                <c:pt idx="18">
                  <c:v>453210</c:v>
                </c:pt>
                <c:pt idx="19">
                  <c:v>1133075</c:v>
                </c:pt>
                <c:pt idx="20">
                  <c:v>2266200</c:v>
                </c:pt>
                <c:pt idx="21">
                  <c:v>226625</c:v>
                </c:pt>
                <c:pt idx="22">
                  <c:v>362608</c:v>
                </c:pt>
                <c:pt idx="23">
                  <c:v>2266400</c:v>
                </c:pt>
                <c:pt idx="24">
                  <c:v>453290</c:v>
                </c:pt>
                <c:pt idx="25">
                  <c:v>1133250</c:v>
                </c:pt>
                <c:pt idx="26">
                  <c:v>226655</c:v>
                </c:pt>
                <c:pt idx="27">
                  <c:v>362656</c:v>
                </c:pt>
                <c:pt idx="28">
                  <c:v>2266700</c:v>
                </c:pt>
                <c:pt idx="29">
                  <c:v>453350</c:v>
                </c:pt>
                <c:pt idx="30">
                  <c:v>1133400</c:v>
                </c:pt>
                <c:pt idx="31">
                  <c:v>226690</c:v>
                </c:pt>
                <c:pt idx="32">
                  <c:v>362712</c:v>
                </c:pt>
                <c:pt idx="33">
                  <c:v>2267000</c:v>
                </c:pt>
                <c:pt idx="34">
                  <c:v>453410</c:v>
                </c:pt>
                <c:pt idx="35">
                  <c:v>1133575</c:v>
                </c:pt>
                <c:pt idx="36">
                  <c:v>226720</c:v>
                </c:pt>
                <c:pt idx="37">
                  <c:v>362760</c:v>
                </c:pt>
                <c:pt idx="38">
                  <c:v>2267350</c:v>
                </c:pt>
                <c:pt idx="39">
                  <c:v>453480</c:v>
                </c:pt>
                <c:pt idx="40">
                  <c:v>1133725</c:v>
                </c:pt>
                <c:pt idx="41">
                  <c:v>226750</c:v>
                </c:pt>
                <c:pt idx="42">
                  <c:v>362816</c:v>
                </c:pt>
                <c:pt idx="43">
                  <c:v>2267650</c:v>
                </c:pt>
                <c:pt idx="44">
                  <c:v>453540</c:v>
                </c:pt>
                <c:pt idx="45">
                  <c:v>1133875</c:v>
                </c:pt>
                <c:pt idx="46">
                  <c:v>226780</c:v>
                </c:pt>
                <c:pt idx="47">
                  <c:v>362856</c:v>
                </c:pt>
                <c:pt idx="48">
                  <c:v>2267900</c:v>
                </c:pt>
                <c:pt idx="49">
                  <c:v>453590</c:v>
                </c:pt>
              </c:numCache>
            </c:numRef>
          </c:val>
          <c:smooth val="0"/>
          <c:extLst>
            <c:ext xmlns:c16="http://schemas.microsoft.com/office/drawing/2014/chart" uri="{C3380CC4-5D6E-409C-BE32-E72D297353CC}">
              <c16:uniqueId val="{00000000-74F5-4F7F-93AF-7ACFB3F531C3}"/>
            </c:ext>
          </c:extLst>
        </c:ser>
        <c:dLbls>
          <c:showLegendKey val="0"/>
          <c:showVal val="0"/>
          <c:showCatName val="0"/>
          <c:showSerName val="0"/>
          <c:showPercent val="0"/>
          <c:showBubbleSize val="0"/>
        </c:dLbls>
        <c:smooth val="0"/>
        <c:axId val="1816606208"/>
        <c:axId val="1816624448"/>
      </c:lineChart>
      <c:dateAx>
        <c:axId val="181660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Order 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4448"/>
        <c:crosses val="autoZero"/>
        <c:auto val="1"/>
        <c:lblOffset val="100"/>
        <c:baseTimeUnit val="days"/>
      </c:dateAx>
      <c:valAx>
        <c:axId val="181662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0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57150</xdr:colOff>
      <xdr:row>3</xdr:row>
      <xdr:rowOff>33337</xdr:rowOff>
    </xdr:from>
    <xdr:to>
      <xdr:col>10</xdr:col>
      <xdr:colOff>361950</xdr:colOff>
      <xdr:row>17</xdr:row>
      <xdr:rowOff>109537</xdr:rowOff>
    </xdr:to>
    <xdr:graphicFrame macro="">
      <xdr:nvGraphicFramePr>
        <xdr:cNvPr id="2" name="Chart 1">
          <a:extLst>
            <a:ext uri="{FF2B5EF4-FFF2-40B4-BE49-F238E27FC236}">
              <a16:creationId xmlns:a16="http://schemas.microsoft.com/office/drawing/2014/main" id="{9C3E5295-1027-C274-74CB-FB2EB8573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581024</xdr:colOff>
      <xdr:row>5</xdr:row>
      <xdr:rowOff>152399</xdr:rowOff>
    </xdr:from>
    <xdr:to>
      <xdr:col>16</xdr:col>
      <xdr:colOff>419099</xdr:colOff>
      <xdr:row>16</xdr:row>
      <xdr:rowOff>166686</xdr:rowOff>
    </xdr:to>
    <xdr:graphicFrame macro="">
      <xdr:nvGraphicFramePr>
        <xdr:cNvPr id="4" name="Chart 3">
          <a:extLst>
            <a:ext uri="{FF2B5EF4-FFF2-40B4-BE49-F238E27FC236}">
              <a16:creationId xmlns:a16="http://schemas.microsoft.com/office/drawing/2014/main" id="{FF8D1F53-DA72-3BF2-C161-8BDE7D67E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6.570956481482" createdVersion="8" refreshedVersion="8" minRefreshableVersion="3" recordCount="50" xr:uid="{4F843902-972A-4898-9C8E-C5E99B331CC8}">
  <cacheSource type="worksheet">
    <worksheetSource ref="A1:F51" sheet="Q.No.6"/>
  </cacheSource>
  <cacheFields count="6">
    <cacheField name="OrderID" numFmtId="0">
      <sharedItems containsSemiMixedTypes="0" containsString="0" containsNumber="1" containsInteger="1" minValue="1001" maxValue="1050"/>
    </cacheField>
    <cacheField name="Region" numFmtId="0">
      <sharedItems/>
    </cacheField>
    <cacheField name="Product" numFmtId="0">
      <sharedItems count="5">
        <s v="Notebook"/>
        <s v="Pen"/>
        <s v="Marker"/>
        <s v="Pencil"/>
        <s v="Eraser"/>
      </sharedItems>
    </cacheField>
    <cacheField name="Quantity" numFmtId="0">
      <sharedItems containsSemiMixedTypes="0" containsString="0" containsNumber="1" containsInteger="1" minValue="5" maxValue="40"/>
    </cacheField>
    <cacheField name="UnitPrice" numFmtId="0">
      <sharedItems containsSemiMixedTypes="0" containsString="0" containsNumber="1" containsInteger="1" minValue="5" maxValue="50"/>
    </cacheField>
    <cacheField name="Total sales" numFmtId="0">
      <sharedItems containsSemiMixedTypes="0" containsString="0" containsNumber="1" containsInteger="1" minValue="90" maxValue="8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North"/>
    <x v="0"/>
    <n v="10"/>
    <n v="50"/>
    <n v="500"/>
  </r>
  <r>
    <n v="1002"/>
    <s v="South"/>
    <x v="1"/>
    <n v="20"/>
    <n v="10"/>
    <n v="200"/>
  </r>
  <r>
    <n v="1003"/>
    <s v="East"/>
    <x v="2"/>
    <n v="15"/>
    <n v="25"/>
    <n v="375"/>
  </r>
  <r>
    <n v="1004"/>
    <s v="West"/>
    <x v="0"/>
    <n v="5"/>
    <n v="50"/>
    <n v="250"/>
  </r>
  <r>
    <n v="1005"/>
    <s v="North"/>
    <x v="3"/>
    <n v="30"/>
    <n v="5"/>
    <n v="150"/>
  </r>
  <r>
    <n v="1006"/>
    <s v="South"/>
    <x v="0"/>
    <n v="12"/>
    <n v="50"/>
    <n v="600"/>
  </r>
  <r>
    <n v="1007"/>
    <s v="East"/>
    <x v="4"/>
    <n v="25"/>
    <n v="8"/>
    <n v="200"/>
  </r>
  <r>
    <n v="1008"/>
    <s v="West"/>
    <x v="1"/>
    <n v="18"/>
    <n v="10"/>
    <n v="180"/>
  </r>
  <r>
    <n v="1009"/>
    <s v="North"/>
    <x v="2"/>
    <n v="22"/>
    <n v="25"/>
    <n v="550"/>
  </r>
  <r>
    <n v="1010"/>
    <s v="South"/>
    <x v="0"/>
    <n v="8"/>
    <n v="50"/>
    <n v="400"/>
  </r>
  <r>
    <n v="1011"/>
    <s v="East"/>
    <x v="3"/>
    <n v="40"/>
    <n v="5"/>
    <n v="200"/>
  </r>
  <r>
    <n v="1012"/>
    <s v="West"/>
    <x v="4"/>
    <n v="35"/>
    <n v="8"/>
    <n v="280"/>
  </r>
  <r>
    <n v="1013"/>
    <s v="North"/>
    <x v="0"/>
    <n v="14"/>
    <n v="50"/>
    <n v="700"/>
  </r>
  <r>
    <n v="1014"/>
    <s v="South"/>
    <x v="1"/>
    <n v="28"/>
    <n v="10"/>
    <n v="280"/>
  </r>
  <r>
    <n v="1015"/>
    <s v="East"/>
    <x v="2"/>
    <n v="12"/>
    <n v="25"/>
    <n v="300"/>
  </r>
  <r>
    <n v="1016"/>
    <s v="West"/>
    <x v="3"/>
    <n v="25"/>
    <n v="5"/>
    <n v="125"/>
  </r>
  <r>
    <n v="1017"/>
    <s v="North"/>
    <x v="4"/>
    <n v="20"/>
    <n v="8"/>
    <n v="160"/>
  </r>
  <r>
    <n v="1018"/>
    <s v="South"/>
    <x v="0"/>
    <n v="10"/>
    <n v="50"/>
    <n v="500"/>
  </r>
  <r>
    <n v="1019"/>
    <s v="East"/>
    <x v="1"/>
    <n v="15"/>
    <n v="10"/>
    <n v="150"/>
  </r>
  <r>
    <n v="1020"/>
    <s v="West"/>
    <x v="2"/>
    <n v="18"/>
    <n v="25"/>
    <n v="450"/>
  </r>
  <r>
    <n v="1021"/>
    <s v="North"/>
    <x v="0"/>
    <n v="9"/>
    <n v="50"/>
    <n v="450"/>
  </r>
  <r>
    <n v="1022"/>
    <s v="South"/>
    <x v="3"/>
    <n v="35"/>
    <n v="5"/>
    <n v="175"/>
  </r>
  <r>
    <n v="1023"/>
    <s v="East"/>
    <x v="4"/>
    <n v="30"/>
    <n v="8"/>
    <n v="240"/>
  </r>
  <r>
    <n v="1024"/>
    <s v="West"/>
    <x v="0"/>
    <n v="11"/>
    <n v="50"/>
    <n v="550"/>
  </r>
  <r>
    <n v="1025"/>
    <s v="North"/>
    <x v="1"/>
    <n v="14"/>
    <n v="10"/>
    <n v="140"/>
  </r>
  <r>
    <n v="1026"/>
    <s v="South"/>
    <x v="2"/>
    <n v="16"/>
    <n v="25"/>
    <n v="400"/>
  </r>
  <r>
    <n v="1027"/>
    <s v="East"/>
    <x v="3"/>
    <n v="22"/>
    <n v="5"/>
    <n v="110"/>
  </r>
  <r>
    <n v="1028"/>
    <s v="West"/>
    <x v="4"/>
    <n v="27"/>
    <n v="8"/>
    <n v="216"/>
  </r>
  <r>
    <n v="1029"/>
    <s v="North"/>
    <x v="0"/>
    <n v="13"/>
    <n v="50"/>
    <n v="650"/>
  </r>
  <r>
    <n v="1030"/>
    <s v="South"/>
    <x v="1"/>
    <n v="32"/>
    <n v="10"/>
    <n v="320"/>
  </r>
  <r>
    <n v="1031"/>
    <s v="East"/>
    <x v="2"/>
    <n v="10"/>
    <n v="25"/>
    <n v="250"/>
  </r>
  <r>
    <n v="1032"/>
    <s v="West"/>
    <x v="3"/>
    <n v="18"/>
    <n v="5"/>
    <n v="90"/>
  </r>
  <r>
    <n v="1033"/>
    <s v="North"/>
    <x v="4"/>
    <n v="22"/>
    <n v="8"/>
    <n v="176"/>
  </r>
  <r>
    <n v="1034"/>
    <s v="South"/>
    <x v="0"/>
    <n v="17"/>
    <n v="50"/>
    <n v="850"/>
  </r>
  <r>
    <n v="1035"/>
    <s v="East"/>
    <x v="1"/>
    <n v="19"/>
    <n v="10"/>
    <n v="190"/>
  </r>
  <r>
    <n v="1036"/>
    <s v="West"/>
    <x v="2"/>
    <n v="15"/>
    <n v="25"/>
    <n v="375"/>
  </r>
  <r>
    <n v="1037"/>
    <s v="North"/>
    <x v="3"/>
    <n v="28"/>
    <n v="5"/>
    <n v="140"/>
  </r>
  <r>
    <n v="1038"/>
    <s v="South"/>
    <x v="4"/>
    <n v="24"/>
    <n v="8"/>
    <n v="192"/>
  </r>
  <r>
    <n v="1039"/>
    <s v="East"/>
    <x v="0"/>
    <n v="16"/>
    <n v="50"/>
    <n v="800"/>
  </r>
  <r>
    <n v="1040"/>
    <s v="West"/>
    <x v="1"/>
    <n v="27"/>
    <n v="10"/>
    <n v="270"/>
  </r>
  <r>
    <n v="1041"/>
    <s v="North"/>
    <x v="2"/>
    <n v="21"/>
    <n v="25"/>
    <n v="525"/>
  </r>
  <r>
    <n v="1042"/>
    <s v="South"/>
    <x v="3"/>
    <n v="30"/>
    <n v="5"/>
    <n v="150"/>
  </r>
  <r>
    <n v="1043"/>
    <s v="East"/>
    <x v="4"/>
    <n v="26"/>
    <n v="8"/>
    <n v="208"/>
  </r>
  <r>
    <n v="1044"/>
    <s v="West"/>
    <x v="0"/>
    <n v="14"/>
    <n v="50"/>
    <n v="700"/>
  </r>
  <r>
    <n v="1045"/>
    <s v="North"/>
    <x v="1"/>
    <n v="20"/>
    <n v="10"/>
    <n v="200"/>
  </r>
  <r>
    <n v="1046"/>
    <s v="South"/>
    <x v="2"/>
    <n v="17"/>
    <n v="25"/>
    <n v="425"/>
  </r>
  <r>
    <n v="1047"/>
    <s v="East"/>
    <x v="3"/>
    <n v="19"/>
    <n v="5"/>
    <n v="95"/>
  </r>
  <r>
    <n v="1048"/>
    <s v="West"/>
    <x v="4"/>
    <n v="32"/>
    <n v="8"/>
    <n v="256"/>
  </r>
  <r>
    <n v="1049"/>
    <s v="North"/>
    <x v="0"/>
    <n v="12"/>
    <n v="50"/>
    <n v="600"/>
  </r>
  <r>
    <n v="1050"/>
    <s v="South"/>
    <x v="1"/>
    <n v="25"/>
    <n v="10"/>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BCBB3-C86E-49FA-AC70-47C8585EE95C}"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6">
    <pivotField showAll="0"/>
    <pivotField showAll="0"/>
    <pivotField axis="axisRow" showAll="0">
      <items count="6">
        <item x="4"/>
        <item x="2"/>
        <item x="0"/>
        <item x="1"/>
        <item x="3"/>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Sum of Total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7FD2E6-6ECD-4307-856E-26E18C1259BE}" name="Table1" displayName="Table1" ref="D6:E9" totalsRowShown="0" headerRowDxfId="1" headerRowBorderDxfId="5" tableBorderDxfId="6" totalsRowBorderDxfId="4">
  <tableColumns count="2">
    <tableColumn id="1" xr3:uid="{2BFE3012-78E9-4169-A8FA-8FCE902D5212}" name="Vehicle" dataDxfId="3"/>
    <tableColumn id="2" xr3:uid="{6E05B870-9A65-4E1A-8433-B57A826C8BEE}" name="Price" dataDxfId="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3085EA-78F5-46C2-BDDA-38ACEF07B7F8}" name="Table2" displayName="Table2" ref="D4:F7" totalsRowShown="0" headerRowDxfId="0">
  <tableColumns count="3">
    <tableColumn id="1" xr3:uid="{F4FDF1EF-404D-4D0B-8295-3F7E5D0C1949}" name="Item"/>
    <tableColumn id="2" xr3:uid="{8467F149-49EA-4A7B-96BF-0CC1F5C46D57}" name="Price"/>
    <tableColumn id="3" xr3:uid="{FC367A1C-FADF-4668-8BF6-0DD24119BB4E}" name="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63B4-8BCB-4480-AB45-2353E5997380}">
  <dimension ref="B2:T24"/>
  <sheetViews>
    <sheetView workbookViewId="0">
      <selection activeCell="N18" sqref="N18"/>
    </sheetView>
  </sheetViews>
  <sheetFormatPr defaultRowHeight="15" x14ac:dyDescent="0.25"/>
  <cols>
    <col min="6" max="6" width="9.140625" customWidth="1"/>
  </cols>
  <sheetData>
    <row r="2" spans="2:20" ht="15.75" x14ac:dyDescent="0.25">
      <c r="B2" s="10" t="s">
        <v>16</v>
      </c>
      <c r="C2" s="10"/>
      <c r="D2" s="10"/>
      <c r="E2" s="10"/>
      <c r="F2" s="10"/>
      <c r="G2" s="10"/>
      <c r="H2" s="10"/>
      <c r="I2" s="10"/>
      <c r="J2" s="10"/>
      <c r="K2" s="10"/>
      <c r="L2" s="10"/>
    </row>
    <row r="4" spans="2:20" x14ac:dyDescent="0.25">
      <c r="B4" s="9" t="s">
        <v>20</v>
      </c>
      <c r="C4" s="9"/>
      <c r="D4" s="9"/>
      <c r="E4" s="9"/>
      <c r="F4" s="9"/>
      <c r="G4" s="9"/>
      <c r="H4" s="9"/>
      <c r="I4" s="9"/>
      <c r="J4" s="9"/>
      <c r="K4" s="9"/>
      <c r="L4" s="9"/>
      <c r="M4" s="9"/>
      <c r="N4" s="9"/>
      <c r="O4" s="9"/>
      <c r="P4" s="9"/>
      <c r="Q4" s="9"/>
      <c r="R4" s="9"/>
      <c r="S4" s="9"/>
      <c r="T4" s="9"/>
    </row>
    <row r="5" spans="2:20" x14ac:dyDescent="0.25">
      <c r="B5" s="9"/>
      <c r="C5" s="9"/>
      <c r="D5" s="9"/>
      <c r="E5" s="9"/>
      <c r="F5" s="9"/>
      <c r="G5" s="9"/>
      <c r="H5" s="9"/>
      <c r="I5" s="9"/>
      <c r="J5" s="9"/>
      <c r="K5" s="9"/>
      <c r="L5" s="9"/>
      <c r="M5" s="9"/>
      <c r="N5" s="9"/>
      <c r="O5" s="9"/>
      <c r="P5" s="9"/>
      <c r="Q5" s="9"/>
      <c r="R5" s="9"/>
      <c r="S5" s="9"/>
      <c r="T5" s="9"/>
    </row>
    <row r="7" spans="2:20" ht="15" customHeight="1" x14ac:dyDescent="0.25">
      <c r="B7" s="9" t="s">
        <v>19</v>
      </c>
      <c r="C7" s="9"/>
      <c r="D7" s="9"/>
      <c r="E7" s="9"/>
      <c r="F7" s="9"/>
      <c r="G7" s="9"/>
      <c r="H7" s="9"/>
      <c r="I7" s="9"/>
      <c r="J7" s="9"/>
      <c r="K7" s="9"/>
      <c r="L7" s="9"/>
      <c r="M7" s="9"/>
      <c r="N7" s="9"/>
      <c r="O7" s="9"/>
      <c r="P7" s="9"/>
      <c r="Q7" s="9"/>
      <c r="R7" s="9"/>
      <c r="S7" s="9"/>
    </row>
    <row r="8" spans="2:20" ht="15" customHeight="1" x14ac:dyDescent="0.25">
      <c r="B8" s="9"/>
      <c r="C8" s="9"/>
      <c r="D8" s="9"/>
      <c r="E8" s="9"/>
      <c r="F8" s="9"/>
      <c r="G8" s="9"/>
      <c r="H8" s="9"/>
      <c r="I8" s="9"/>
      <c r="J8" s="9"/>
      <c r="K8" s="9"/>
      <c r="L8" s="9"/>
      <c r="M8" s="9"/>
      <c r="N8" s="9"/>
      <c r="O8" s="9"/>
      <c r="P8" s="9"/>
      <c r="Q8" s="9"/>
      <c r="R8" s="9"/>
      <c r="S8" s="9"/>
    </row>
    <row r="9" spans="2:20" ht="15" customHeight="1" x14ac:dyDescent="0.25">
      <c r="B9" s="9"/>
      <c r="C9" s="9"/>
      <c r="D9" s="9"/>
      <c r="E9" s="9"/>
      <c r="F9" s="9"/>
      <c r="G9" s="9"/>
      <c r="H9" s="9"/>
      <c r="I9" s="9"/>
      <c r="J9" s="9"/>
      <c r="K9" s="9"/>
      <c r="L9" s="9"/>
      <c r="M9" s="9"/>
      <c r="N9" s="9"/>
      <c r="O9" s="9"/>
      <c r="P9" s="9"/>
      <c r="Q9" s="9"/>
      <c r="R9" s="9"/>
      <c r="S9" s="9"/>
    </row>
    <row r="11" spans="2:20" x14ac:dyDescent="0.25">
      <c r="B11" s="9" t="s">
        <v>18</v>
      </c>
      <c r="C11" s="9"/>
      <c r="D11" s="9"/>
      <c r="E11" s="9"/>
      <c r="F11" s="9"/>
      <c r="G11" s="9"/>
      <c r="H11" s="9"/>
      <c r="I11" s="9"/>
      <c r="J11" s="9"/>
      <c r="K11" s="9"/>
      <c r="L11" s="9"/>
      <c r="M11" s="9"/>
      <c r="N11" s="9"/>
      <c r="O11" s="9"/>
      <c r="P11" s="9"/>
      <c r="Q11" s="9"/>
      <c r="R11" s="9"/>
      <c r="S11" s="9"/>
      <c r="T11" s="9"/>
    </row>
    <row r="12" spans="2:20" x14ac:dyDescent="0.25">
      <c r="B12" s="9"/>
      <c r="C12" s="9"/>
      <c r="D12" s="9"/>
      <c r="E12" s="9"/>
      <c r="F12" s="9"/>
      <c r="G12" s="9"/>
      <c r="H12" s="9"/>
      <c r="I12" s="9"/>
      <c r="J12" s="9"/>
      <c r="K12" s="9"/>
      <c r="L12" s="9"/>
      <c r="M12" s="9"/>
      <c r="N12" s="9"/>
      <c r="O12" s="9"/>
      <c r="P12" s="9"/>
      <c r="Q12" s="9"/>
      <c r="R12" s="9"/>
      <c r="S12" s="9"/>
      <c r="T12" s="9"/>
    </row>
    <row r="13" spans="2:20" x14ac:dyDescent="0.25">
      <c r="B13" s="9"/>
      <c r="C13" s="9"/>
      <c r="D13" s="9"/>
      <c r="E13" s="9"/>
      <c r="F13" s="9"/>
      <c r="G13" s="9"/>
      <c r="H13" s="9"/>
      <c r="I13" s="9"/>
      <c r="J13" s="9"/>
      <c r="K13" s="9"/>
      <c r="L13" s="9"/>
      <c r="M13" s="9"/>
      <c r="N13" s="9"/>
      <c r="O13" s="9"/>
      <c r="P13" s="9"/>
      <c r="Q13" s="9"/>
      <c r="R13" s="9"/>
      <c r="S13" s="9"/>
      <c r="T13" s="9"/>
    </row>
    <row r="15" spans="2:20" x14ac:dyDescent="0.25">
      <c r="B15" s="9" t="s">
        <v>17</v>
      </c>
      <c r="C15" s="9"/>
      <c r="D15" s="9"/>
      <c r="E15" s="9"/>
      <c r="F15" s="9"/>
      <c r="G15" s="9"/>
      <c r="H15" s="9"/>
      <c r="I15" s="9"/>
      <c r="J15" s="9"/>
      <c r="K15" s="9"/>
      <c r="L15" s="9"/>
      <c r="M15" s="9"/>
      <c r="N15" s="9"/>
      <c r="O15" s="9"/>
      <c r="P15" s="9"/>
      <c r="Q15" s="9"/>
      <c r="R15" s="9"/>
      <c r="S15" s="9"/>
      <c r="T15" s="9"/>
    </row>
    <row r="16" spans="2:20" x14ac:dyDescent="0.25">
      <c r="B16" s="9"/>
      <c r="C16" s="9"/>
      <c r="D16" s="9"/>
      <c r="E16" s="9"/>
      <c r="F16" s="9"/>
      <c r="G16" s="9"/>
      <c r="H16" s="9"/>
      <c r="I16" s="9"/>
      <c r="J16" s="9"/>
      <c r="K16" s="9"/>
      <c r="L16" s="9"/>
      <c r="M16" s="9"/>
      <c r="N16" s="9"/>
      <c r="O16" s="9"/>
      <c r="P16" s="9"/>
      <c r="Q16" s="9"/>
      <c r="R16" s="9"/>
      <c r="S16" s="9"/>
      <c r="T16" s="9"/>
    </row>
    <row r="17" spans="2:20" x14ac:dyDescent="0.25">
      <c r="B17" s="9"/>
      <c r="C17" s="9"/>
      <c r="D17" s="9"/>
      <c r="E17" s="9"/>
      <c r="F17" s="9"/>
      <c r="G17" s="9"/>
      <c r="H17" s="9"/>
      <c r="I17" s="9"/>
      <c r="J17" s="9"/>
      <c r="K17" s="9"/>
      <c r="L17" s="9"/>
      <c r="M17" s="9"/>
      <c r="N17" s="9"/>
      <c r="O17" s="9"/>
      <c r="P17" s="9"/>
      <c r="Q17" s="9"/>
      <c r="R17" s="9"/>
      <c r="S17" s="9"/>
      <c r="T17" s="9"/>
    </row>
    <row r="21" spans="2:20" ht="17.25" x14ac:dyDescent="0.25">
      <c r="C21" s="4" t="s">
        <v>0</v>
      </c>
      <c r="D21" s="4"/>
      <c r="E21" s="4" t="s">
        <v>1</v>
      </c>
      <c r="F21" s="4"/>
      <c r="G21" s="5" t="s">
        <v>2</v>
      </c>
      <c r="H21" s="5"/>
      <c r="I21" s="5"/>
      <c r="J21" s="5"/>
      <c r="K21" s="5" t="s">
        <v>12</v>
      </c>
      <c r="L21" s="5"/>
      <c r="M21" s="5"/>
      <c r="N21" s="5"/>
      <c r="O21" s="5"/>
      <c r="P21" s="5"/>
      <c r="Q21" s="5"/>
      <c r="R21" s="5"/>
    </row>
    <row r="22" spans="2:20" ht="17.25" x14ac:dyDescent="0.3">
      <c r="C22" s="6" t="s">
        <v>3</v>
      </c>
      <c r="D22" s="6"/>
      <c r="E22" s="7" t="s">
        <v>6</v>
      </c>
      <c r="F22" s="7"/>
      <c r="G22" s="7" t="s">
        <v>9</v>
      </c>
      <c r="H22" s="7"/>
      <c r="I22" s="7"/>
      <c r="J22" s="7"/>
      <c r="K22" s="7" t="s">
        <v>13</v>
      </c>
      <c r="L22" s="7"/>
      <c r="M22" s="7"/>
      <c r="N22" s="7"/>
      <c r="O22" s="7"/>
      <c r="P22" s="7"/>
      <c r="Q22" s="7"/>
      <c r="R22" s="7"/>
    </row>
    <row r="23" spans="2:20" ht="17.25" x14ac:dyDescent="0.3">
      <c r="C23" s="4" t="s">
        <v>4</v>
      </c>
      <c r="D23" s="4"/>
      <c r="E23" s="8" t="s">
        <v>7</v>
      </c>
      <c r="F23" s="8"/>
      <c r="G23" s="7" t="s">
        <v>10</v>
      </c>
      <c r="H23" s="7"/>
      <c r="I23" s="7"/>
      <c r="J23" s="7"/>
      <c r="K23" s="7" t="s">
        <v>15</v>
      </c>
      <c r="L23" s="7"/>
      <c r="M23" s="7"/>
      <c r="N23" s="7"/>
      <c r="O23" s="7"/>
      <c r="P23" s="7"/>
      <c r="Q23" s="7"/>
      <c r="R23" s="7"/>
    </row>
    <row r="24" spans="2:20" ht="17.25" x14ac:dyDescent="0.3">
      <c r="C24" s="4" t="s">
        <v>5</v>
      </c>
      <c r="D24" s="4"/>
      <c r="E24" s="7" t="s">
        <v>8</v>
      </c>
      <c r="F24" s="7"/>
      <c r="G24" s="7" t="s">
        <v>11</v>
      </c>
      <c r="H24" s="7"/>
      <c r="I24" s="7"/>
      <c r="J24" s="7"/>
      <c r="K24" s="8" t="s">
        <v>14</v>
      </c>
      <c r="L24" s="8"/>
      <c r="M24" s="8"/>
      <c r="N24" s="8"/>
      <c r="O24" s="8"/>
      <c r="P24" s="8"/>
      <c r="Q24" s="8"/>
      <c r="R24" s="8"/>
    </row>
  </sheetData>
  <mergeCells count="21">
    <mergeCell ref="K21:R21"/>
    <mergeCell ref="K22:R22"/>
    <mergeCell ref="K23:R23"/>
    <mergeCell ref="K24:R24"/>
    <mergeCell ref="B2:L2"/>
    <mergeCell ref="E24:F24"/>
    <mergeCell ref="G21:J21"/>
    <mergeCell ref="G22:J22"/>
    <mergeCell ref="G23:J23"/>
    <mergeCell ref="G24:J24"/>
    <mergeCell ref="C21:D21"/>
    <mergeCell ref="C22:D22"/>
    <mergeCell ref="C23:D23"/>
    <mergeCell ref="C24:D24"/>
    <mergeCell ref="E21:F21"/>
    <mergeCell ref="E22:F22"/>
    <mergeCell ref="E23:F23"/>
    <mergeCell ref="B11:T13"/>
    <mergeCell ref="B15:T17"/>
    <mergeCell ref="B4:T5"/>
    <mergeCell ref="B7:S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4D4-B916-4050-94F4-E1F55960109A}">
  <dimension ref="B2:J14"/>
  <sheetViews>
    <sheetView workbookViewId="0">
      <selection activeCell="D22" sqref="D22"/>
    </sheetView>
  </sheetViews>
  <sheetFormatPr defaultRowHeight="15" x14ac:dyDescent="0.25"/>
  <cols>
    <col min="4" max="4" width="26.85546875" bestFit="1" customWidth="1"/>
    <col min="5" max="5" width="15.5703125" customWidth="1"/>
  </cols>
  <sheetData>
    <row r="2" spans="2:10" ht="15.75" x14ac:dyDescent="0.25">
      <c r="B2" s="38" t="s">
        <v>21</v>
      </c>
      <c r="C2" s="38"/>
      <c r="D2" s="38"/>
      <c r="E2" s="38"/>
      <c r="F2" s="38"/>
      <c r="G2" s="38"/>
      <c r="H2" s="38"/>
      <c r="I2" s="38"/>
      <c r="J2" s="38"/>
    </row>
    <row r="4" spans="2:10" ht="15.75" x14ac:dyDescent="0.25">
      <c r="C4" s="3" t="s">
        <v>22</v>
      </c>
      <c r="D4" s="3"/>
      <c r="E4" s="3"/>
      <c r="F4" s="3"/>
    </row>
    <row r="6" spans="2:10" x14ac:dyDescent="0.25">
      <c r="D6" s="15" t="s">
        <v>23</v>
      </c>
      <c r="E6" s="16" t="s">
        <v>24</v>
      </c>
    </row>
    <row r="7" spans="2:10" x14ac:dyDescent="0.25">
      <c r="D7" s="13" t="s">
        <v>25</v>
      </c>
      <c r="E7" s="14">
        <v>500000</v>
      </c>
    </row>
    <row r="8" spans="2:10" x14ac:dyDescent="0.25">
      <c r="D8" s="13" t="s">
        <v>26</v>
      </c>
      <c r="E8" s="14">
        <v>10500</v>
      </c>
    </row>
    <row r="9" spans="2:10" x14ac:dyDescent="0.25">
      <c r="D9" s="17" t="s">
        <v>27</v>
      </c>
      <c r="E9" s="18">
        <v>25000</v>
      </c>
    </row>
    <row r="11" spans="2:10" x14ac:dyDescent="0.25">
      <c r="B11" s="12"/>
      <c r="C11" s="12"/>
      <c r="D11" s="20" t="s">
        <v>29</v>
      </c>
      <c r="E11" s="20"/>
      <c r="F11" s="20"/>
      <c r="G11" s="20"/>
    </row>
    <row r="14" spans="2:10" x14ac:dyDescent="0.25">
      <c r="D14" s="19" t="s">
        <v>28</v>
      </c>
      <c r="E14" s="19">
        <f>SUMIF(D7:D9,"car",E7:E9)+SUMIF(D7:D9,"bicycle",E7:E9)</f>
        <v>510500</v>
      </c>
    </row>
  </sheetData>
  <mergeCells count="3">
    <mergeCell ref="B2:J2"/>
    <mergeCell ref="C4:F4"/>
    <mergeCell ref="D11:G1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20EA-8B69-4876-BD68-176A4532C66D}">
  <dimension ref="B2:N12"/>
  <sheetViews>
    <sheetView workbookViewId="0">
      <selection activeCell="B2" sqref="B2:K2"/>
    </sheetView>
  </sheetViews>
  <sheetFormatPr defaultRowHeight="15" x14ac:dyDescent="0.25"/>
  <cols>
    <col min="4" max="4" width="29.7109375" customWidth="1"/>
    <col min="5" max="5" width="13" customWidth="1"/>
    <col min="6" max="6" width="12.28515625" customWidth="1"/>
  </cols>
  <sheetData>
    <row r="2" spans="2:14" ht="15.75" customHeight="1" x14ac:dyDescent="0.25">
      <c r="B2" s="39" t="s">
        <v>30</v>
      </c>
      <c r="C2" s="39"/>
      <c r="D2" s="39"/>
      <c r="E2" s="39"/>
      <c r="F2" s="39"/>
      <c r="G2" s="39"/>
      <c r="H2" s="39"/>
      <c r="I2" s="39"/>
      <c r="J2" s="39"/>
      <c r="K2" s="39"/>
      <c r="L2" s="2"/>
      <c r="M2" s="2"/>
      <c r="N2" s="2"/>
    </row>
    <row r="3" spans="2:14" x14ac:dyDescent="0.25">
      <c r="B3" s="21"/>
      <c r="C3" s="21"/>
      <c r="D3" s="21"/>
      <c r="E3" s="21"/>
      <c r="F3" s="21"/>
      <c r="G3" s="21"/>
      <c r="H3" s="21"/>
      <c r="I3" s="21"/>
      <c r="J3" s="21"/>
      <c r="K3" s="21"/>
      <c r="L3" s="21"/>
      <c r="M3" s="21"/>
      <c r="N3" s="21"/>
    </row>
    <row r="4" spans="2:14" x14ac:dyDescent="0.25">
      <c r="D4" s="22" t="s">
        <v>31</v>
      </c>
      <c r="E4" s="22" t="s">
        <v>24</v>
      </c>
      <c r="F4" s="22" t="s">
        <v>32</v>
      </c>
    </row>
    <row r="5" spans="2:14" x14ac:dyDescent="0.25">
      <c r="D5" t="s">
        <v>33</v>
      </c>
      <c r="E5">
        <v>90</v>
      </c>
      <c r="F5">
        <v>1000</v>
      </c>
    </row>
    <row r="6" spans="2:14" x14ac:dyDescent="0.25">
      <c r="D6" t="s">
        <v>34</v>
      </c>
      <c r="E6">
        <v>150</v>
      </c>
      <c r="F6">
        <v>1200</v>
      </c>
    </row>
    <row r="7" spans="2:14" x14ac:dyDescent="0.25">
      <c r="D7" t="s">
        <v>35</v>
      </c>
      <c r="E7">
        <v>250</v>
      </c>
      <c r="F7">
        <v>1500</v>
      </c>
    </row>
    <row r="9" spans="2:14" x14ac:dyDescent="0.25">
      <c r="D9" s="23" t="s">
        <v>37</v>
      </c>
      <c r="E9" s="23"/>
      <c r="F9" s="23"/>
      <c r="G9" s="23"/>
      <c r="H9" s="23"/>
    </row>
    <row r="12" spans="2:14" x14ac:dyDescent="0.25">
      <c r="D12" s="24" t="s">
        <v>36</v>
      </c>
      <c r="E12" s="24"/>
      <c r="F12" s="24"/>
      <c r="G12">
        <f>AVERAGEIFS(Table2[Sales],Table2[Price],"&gt;100",Table2[Price],"&lt;300")</f>
        <v>1350</v>
      </c>
    </row>
  </sheetData>
  <mergeCells count="3">
    <mergeCell ref="D12:F12"/>
    <mergeCell ref="D9:H9"/>
    <mergeCell ref="B2:K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656FC-E417-4BBE-AB13-23A6E419A3AB}">
  <dimension ref="A1:O51"/>
  <sheetViews>
    <sheetView workbookViewId="0">
      <selection activeCell="J5" sqref="J5:K5"/>
    </sheetView>
  </sheetViews>
  <sheetFormatPr defaultRowHeight="20.100000000000001" customHeight="1" x14ac:dyDescent="0.25"/>
  <cols>
    <col min="1" max="1" width="8" bestFit="1" customWidth="1"/>
    <col min="2" max="2" width="15" bestFit="1" customWidth="1"/>
    <col min="3" max="3" width="7.140625" bestFit="1" customWidth="1"/>
    <col min="4" max="4" width="9.85546875" bestFit="1" customWidth="1"/>
    <col min="5" max="5" width="8.7109375" bestFit="1" customWidth="1"/>
    <col min="6" max="6" width="9.28515625" bestFit="1" customWidth="1"/>
    <col min="7" max="7" width="10.28515625" bestFit="1" customWidth="1"/>
    <col min="10" max="10" width="25.140625" bestFit="1" customWidth="1"/>
  </cols>
  <sheetData>
    <row r="1" spans="1:15" ht="20.100000000000001" customHeight="1" x14ac:dyDescent="0.25">
      <c r="A1" s="35" t="s">
        <v>38</v>
      </c>
      <c r="B1" s="35" t="s">
        <v>39</v>
      </c>
      <c r="C1" s="35" t="s">
        <v>40</v>
      </c>
      <c r="D1" s="35" t="s">
        <v>41</v>
      </c>
      <c r="E1" s="35" t="s">
        <v>42</v>
      </c>
      <c r="F1" s="35" t="s">
        <v>43</v>
      </c>
      <c r="G1" s="35" t="s">
        <v>44</v>
      </c>
    </row>
    <row r="2" spans="1:15" ht="20.100000000000001" customHeight="1" x14ac:dyDescent="0.25">
      <c r="A2" s="30">
        <v>1001</v>
      </c>
      <c r="B2" s="31" t="s">
        <v>45</v>
      </c>
      <c r="C2" s="31" t="s">
        <v>46</v>
      </c>
      <c r="D2" s="31" t="s">
        <v>47</v>
      </c>
      <c r="E2" s="30">
        <v>10</v>
      </c>
      <c r="F2" s="30">
        <v>50</v>
      </c>
      <c r="G2" s="32">
        <v>45296</v>
      </c>
      <c r="I2" s="40" t="s">
        <v>104</v>
      </c>
      <c r="J2" s="40"/>
      <c r="K2" s="40"/>
      <c r="L2" s="40"/>
      <c r="M2" s="40"/>
    </row>
    <row r="3" spans="1:15" ht="20.100000000000001" customHeight="1" x14ac:dyDescent="0.25">
      <c r="A3" s="30">
        <v>1002</v>
      </c>
      <c r="B3" s="31" t="s">
        <v>48</v>
      </c>
      <c r="C3" s="31" t="s">
        <v>49</v>
      </c>
      <c r="D3" s="31" t="s">
        <v>50</v>
      </c>
      <c r="E3" s="30">
        <v>20</v>
      </c>
      <c r="F3" s="30">
        <v>10</v>
      </c>
      <c r="G3" s="32">
        <v>45297</v>
      </c>
      <c r="J3" s="2"/>
      <c r="K3" s="2"/>
      <c r="L3" s="2"/>
      <c r="M3" s="2"/>
      <c r="N3" s="2"/>
      <c r="O3" s="2"/>
    </row>
    <row r="4" spans="1:15" ht="20.100000000000001" customHeight="1" x14ac:dyDescent="0.25">
      <c r="A4" s="30">
        <v>1003</v>
      </c>
      <c r="B4" s="31" t="s">
        <v>51</v>
      </c>
      <c r="C4" s="31" t="s">
        <v>52</v>
      </c>
      <c r="D4" s="31" t="s">
        <v>53</v>
      </c>
      <c r="E4" s="30">
        <v>15</v>
      </c>
      <c r="F4" s="30">
        <v>25</v>
      </c>
      <c r="G4" s="32">
        <v>45298</v>
      </c>
      <c r="J4" s="41" t="s">
        <v>106</v>
      </c>
    </row>
    <row r="5" spans="1:15" ht="20.100000000000001" customHeight="1" x14ac:dyDescent="0.25">
      <c r="A5" s="30">
        <v>1004</v>
      </c>
      <c r="B5" s="31" t="s">
        <v>54</v>
      </c>
      <c r="C5" s="31" t="s">
        <v>55</v>
      </c>
      <c r="D5" s="31" t="s">
        <v>47</v>
      </c>
      <c r="E5" s="30">
        <v>5</v>
      </c>
      <c r="F5" s="30">
        <v>50</v>
      </c>
      <c r="G5" s="32">
        <v>45299</v>
      </c>
      <c r="J5" s="36" t="s">
        <v>105</v>
      </c>
      <c r="K5" s="36">
        <f>COUNTA(B2:B51)</f>
        <v>50</v>
      </c>
      <c r="L5" s="1"/>
    </row>
    <row r="6" spans="1:15" ht="20.100000000000001" customHeight="1" x14ac:dyDescent="0.25">
      <c r="A6" s="30">
        <v>1005</v>
      </c>
      <c r="B6" s="31" t="s">
        <v>56</v>
      </c>
      <c r="C6" s="31" t="s">
        <v>46</v>
      </c>
      <c r="D6" s="31" t="s">
        <v>57</v>
      </c>
      <c r="E6" s="30">
        <v>30</v>
      </c>
      <c r="F6" s="30">
        <v>5</v>
      </c>
      <c r="G6" s="32">
        <v>45301</v>
      </c>
    </row>
    <row r="7" spans="1:15" ht="20.100000000000001" customHeight="1" x14ac:dyDescent="0.25">
      <c r="A7" s="30">
        <v>1006</v>
      </c>
      <c r="B7" s="31" t="s">
        <v>58</v>
      </c>
      <c r="C7" s="31" t="s">
        <v>49</v>
      </c>
      <c r="D7" s="31" t="s">
        <v>47</v>
      </c>
      <c r="E7" s="30">
        <v>12</v>
      </c>
      <c r="F7" s="30">
        <v>50</v>
      </c>
      <c r="G7" s="32">
        <v>45302</v>
      </c>
    </row>
    <row r="8" spans="1:15" ht="20.100000000000001" customHeight="1" x14ac:dyDescent="0.25">
      <c r="A8" s="30">
        <v>1007</v>
      </c>
      <c r="B8" s="31" t="s">
        <v>59</v>
      </c>
      <c r="C8" s="31" t="s">
        <v>52</v>
      </c>
      <c r="D8" s="31" t="s">
        <v>60</v>
      </c>
      <c r="E8" s="30">
        <v>25</v>
      </c>
      <c r="F8" s="30">
        <v>8</v>
      </c>
      <c r="G8" s="32">
        <v>45304</v>
      </c>
    </row>
    <row r="9" spans="1:15" ht="20.100000000000001" customHeight="1" x14ac:dyDescent="0.25">
      <c r="A9" s="30">
        <v>1008</v>
      </c>
      <c r="B9" s="31" t="s">
        <v>61</v>
      </c>
      <c r="C9" s="31" t="s">
        <v>55</v>
      </c>
      <c r="D9" s="31" t="s">
        <v>50</v>
      </c>
      <c r="E9" s="30">
        <v>18</v>
      </c>
      <c r="F9" s="30">
        <v>10</v>
      </c>
      <c r="G9" s="32">
        <v>45306</v>
      </c>
    </row>
    <row r="10" spans="1:15" ht="20.100000000000001" customHeight="1" x14ac:dyDescent="0.25">
      <c r="A10" s="30">
        <v>1009</v>
      </c>
      <c r="B10" s="31" t="s">
        <v>62</v>
      </c>
      <c r="C10" s="31" t="s">
        <v>46</v>
      </c>
      <c r="D10" s="31" t="s">
        <v>53</v>
      </c>
      <c r="E10" s="30">
        <v>22</v>
      </c>
      <c r="F10" s="30">
        <v>25</v>
      </c>
      <c r="G10" s="32">
        <v>45308</v>
      </c>
    </row>
    <row r="11" spans="1:15" ht="20.100000000000001" customHeight="1" x14ac:dyDescent="0.25">
      <c r="A11" s="30">
        <v>1010</v>
      </c>
      <c r="B11" s="31" t="s">
        <v>63</v>
      </c>
      <c r="C11" s="31" t="s">
        <v>49</v>
      </c>
      <c r="D11" s="31" t="s">
        <v>47</v>
      </c>
      <c r="E11" s="30">
        <v>8</v>
      </c>
      <c r="F11" s="30">
        <v>50</v>
      </c>
      <c r="G11" s="32">
        <v>45309</v>
      </c>
    </row>
    <row r="12" spans="1:15" ht="20.100000000000001" customHeight="1" x14ac:dyDescent="0.25">
      <c r="A12" s="30">
        <v>1011</v>
      </c>
      <c r="B12" s="31" t="s">
        <v>64</v>
      </c>
      <c r="C12" s="31" t="s">
        <v>52</v>
      </c>
      <c r="D12" s="31" t="s">
        <v>57</v>
      </c>
      <c r="E12" s="30">
        <v>40</v>
      </c>
      <c r="F12" s="30">
        <v>5</v>
      </c>
      <c r="G12" s="32">
        <v>45310</v>
      </c>
    </row>
    <row r="13" spans="1:15" ht="20.100000000000001" customHeight="1" x14ac:dyDescent="0.25">
      <c r="A13" s="30">
        <v>1012</v>
      </c>
      <c r="B13" s="31" t="s">
        <v>65</v>
      </c>
      <c r="C13" s="31" t="s">
        <v>55</v>
      </c>
      <c r="D13" s="31" t="s">
        <v>60</v>
      </c>
      <c r="E13" s="30">
        <v>35</v>
      </c>
      <c r="F13" s="30">
        <v>8</v>
      </c>
      <c r="G13" s="32">
        <v>45311</v>
      </c>
    </row>
    <row r="14" spans="1:15" ht="20.100000000000001" customHeight="1" x14ac:dyDescent="0.25">
      <c r="A14" s="30">
        <v>1013</v>
      </c>
      <c r="B14" s="31" t="s">
        <v>66</v>
      </c>
      <c r="C14" s="31" t="s">
        <v>46</v>
      </c>
      <c r="D14" s="31" t="s">
        <v>47</v>
      </c>
      <c r="E14" s="30">
        <v>14</v>
      </c>
      <c r="F14" s="30">
        <v>50</v>
      </c>
      <c r="G14" s="32">
        <v>45313</v>
      </c>
    </row>
    <row r="15" spans="1:15" ht="20.100000000000001" customHeight="1" x14ac:dyDescent="0.25">
      <c r="A15" s="30">
        <v>1014</v>
      </c>
      <c r="B15" s="31" t="s">
        <v>67</v>
      </c>
      <c r="C15" s="31" t="s">
        <v>49</v>
      </c>
      <c r="D15" s="31" t="s">
        <v>50</v>
      </c>
      <c r="E15" s="30">
        <v>28</v>
      </c>
      <c r="F15" s="30">
        <v>10</v>
      </c>
      <c r="G15" s="32">
        <v>45314</v>
      </c>
    </row>
    <row r="16" spans="1:15" ht="20.100000000000001" customHeight="1" x14ac:dyDescent="0.25">
      <c r="A16" s="30">
        <v>1015</v>
      </c>
      <c r="B16" s="31" t="s">
        <v>68</v>
      </c>
      <c r="C16" s="31" t="s">
        <v>52</v>
      </c>
      <c r="D16" s="31" t="s">
        <v>53</v>
      </c>
      <c r="E16" s="30">
        <v>12</v>
      </c>
      <c r="F16" s="30">
        <v>25</v>
      </c>
      <c r="G16" s="32">
        <v>45315</v>
      </c>
    </row>
    <row r="17" spans="1:7" ht="20.100000000000001" customHeight="1" x14ac:dyDescent="0.25">
      <c r="A17" s="30">
        <v>1016</v>
      </c>
      <c r="B17" s="31" t="s">
        <v>69</v>
      </c>
      <c r="C17" s="31" t="s">
        <v>55</v>
      </c>
      <c r="D17" s="31" t="s">
        <v>57</v>
      </c>
      <c r="E17" s="30">
        <v>25</v>
      </c>
      <c r="F17" s="30">
        <v>5</v>
      </c>
      <c r="G17" s="32">
        <v>45317</v>
      </c>
    </row>
    <row r="18" spans="1:7" ht="20.100000000000001" customHeight="1" x14ac:dyDescent="0.25">
      <c r="A18" s="30">
        <v>1017</v>
      </c>
      <c r="B18" s="31" t="s">
        <v>70</v>
      </c>
      <c r="C18" s="31" t="s">
        <v>46</v>
      </c>
      <c r="D18" s="31" t="s">
        <v>60</v>
      </c>
      <c r="E18" s="30">
        <v>20</v>
      </c>
      <c r="F18" s="30">
        <v>8</v>
      </c>
      <c r="G18" s="32">
        <v>45319</v>
      </c>
    </row>
    <row r="19" spans="1:7" ht="20.100000000000001" customHeight="1" x14ac:dyDescent="0.25">
      <c r="A19" s="30">
        <v>1018</v>
      </c>
      <c r="B19" s="31" t="s">
        <v>71</v>
      </c>
      <c r="C19" s="31" t="s">
        <v>49</v>
      </c>
      <c r="D19" s="31" t="s">
        <v>47</v>
      </c>
      <c r="E19" s="30">
        <v>10</v>
      </c>
      <c r="F19" s="30">
        <v>50</v>
      </c>
      <c r="G19" s="32">
        <v>45320</v>
      </c>
    </row>
    <row r="20" spans="1:7" ht="20.100000000000001" customHeight="1" x14ac:dyDescent="0.25">
      <c r="A20" s="30">
        <v>1019</v>
      </c>
      <c r="B20" s="31" t="s">
        <v>72</v>
      </c>
      <c r="C20" s="31" t="s">
        <v>52</v>
      </c>
      <c r="D20" s="31" t="s">
        <v>50</v>
      </c>
      <c r="E20" s="30">
        <v>15</v>
      </c>
      <c r="F20" s="30">
        <v>10</v>
      </c>
      <c r="G20" s="32">
        <v>45321</v>
      </c>
    </row>
    <row r="21" spans="1:7" ht="20.100000000000001" customHeight="1" x14ac:dyDescent="0.25">
      <c r="A21" s="30">
        <v>1020</v>
      </c>
      <c r="B21" s="31" t="s">
        <v>73</v>
      </c>
      <c r="C21" s="31" t="s">
        <v>55</v>
      </c>
      <c r="D21" s="31" t="s">
        <v>53</v>
      </c>
      <c r="E21" s="30">
        <v>18</v>
      </c>
      <c r="F21" s="30">
        <v>25</v>
      </c>
      <c r="G21" s="32">
        <v>45323</v>
      </c>
    </row>
    <row r="22" spans="1:7" ht="20.100000000000001" customHeight="1" x14ac:dyDescent="0.25">
      <c r="A22" s="30">
        <v>1021</v>
      </c>
      <c r="B22" s="31" t="s">
        <v>74</v>
      </c>
      <c r="C22" s="31" t="s">
        <v>46</v>
      </c>
      <c r="D22" s="31" t="s">
        <v>47</v>
      </c>
      <c r="E22" s="30">
        <v>9</v>
      </c>
      <c r="F22" s="30">
        <v>50</v>
      </c>
      <c r="G22" s="32">
        <v>45324</v>
      </c>
    </row>
    <row r="23" spans="1:7" ht="20.100000000000001" customHeight="1" x14ac:dyDescent="0.25">
      <c r="A23" s="30">
        <v>1022</v>
      </c>
      <c r="B23" s="31" t="s">
        <v>75</v>
      </c>
      <c r="C23" s="31" t="s">
        <v>49</v>
      </c>
      <c r="D23" s="31" t="s">
        <v>57</v>
      </c>
      <c r="E23" s="30">
        <v>35</v>
      </c>
      <c r="F23" s="30">
        <v>5</v>
      </c>
      <c r="G23" s="32">
        <v>45325</v>
      </c>
    </row>
    <row r="24" spans="1:7" ht="20.100000000000001" customHeight="1" x14ac:dyDescent="0.25">
      <c r="A24" s="30">
        <v>1023</v>
      </c>
      <c r="B24" s="31" t="s">
        <v>76</v>
      </c>
      <c r="C24" s="31" t="s">
        <v>52</v>
      </c>
      <c r="D24" s="31" t="s">
        <v>60</v>
      </c>
      <c r="E24" s="30">
        <v>30</v>
      </c>
      <c r="F24" s="30">
        <v>8</v>
      </c>
      <c r="G24" s="32">
        <v>45326</v>
      </c>
    </row>
    <row r="25" spans="1:7" ht="20.100000000000001" customHeight="1" x14ac:dyDescent="0.25">
      <c r="A25" s="30">
        <v>1024</v>
      </c>
      <c r="B25" s="31" t="s">
        <v>77</v>
      </c>
      <c r="C25" s="31" t="s">
        <v>55</v>
      </c>
      <c r="D25" s="31" t="s">
        <v>47</v>
      </c>
      <c r="E25" s="30">
        <v>11</v>
      </c>
      <c r="F25" s="30">
        <v>50</v>
      </c>
      <c r="G25" s="32">
        <v>45328</v>
      </c>
    </row>
    <row r="26" spans="1:7" ht="20.100000000000001" customHeight="1" x14ac:dyDescent="0.25">
      <c r="A26" s="30">
        <v>1025</v>
      </c>
      <c r="B26" s="31" t="s">
        <v>78</v>
      </c>
      <c r="C26" s="31" t="s">
        <v>46</v>
      </c>
      <c r="D26" s="31" t="s">
        <v>50</v>
      </c>
      <c r="E26" s="30">
        <v>14</v>
      </c>
      <c r="F26" s="30">
        <v>10</v>
      </c>
      <c r="G26" s="32">
        <v>45329</v>
      </c>
    </row>
    <row r="27" spans="1:7" ht="20.100000000000001" customHeight="1" x14ac:dyDescent="0.25">
      <c r="A27" s="30">
        <v>1026</v>
      </c>
      <c r="B27" s="31" t="s">
        <v>79</v>
      </c>
      <c r="C27" s="31" t="s">
        <v>49</v>
      </c>
      <c r="D27" s="31" t="s">
        <v>53</v>
      </c>
      <c r="E27" s="30">
        <v>16</v>
      </c>
      <c r="F27" s="30">
        <v>25</v>
      </c>
      <c r="G27" s="32">
        <v>45330</v>
      </c>
    </row>
    <row r="28" spans="1:7" ht="20.100000000000001" customHeight="1" x14ac:dyDescent="0.25">
      <c r="A28" s="30">
        <v>1027</v>
      </c>
      <c r="B28" s="31" t="s">
        <v>80</v>
      </c>
      <c r="C28" s="31" t="s">
        <v>52</v>
      </c>
      <c r="D28" s="31" t="s">
        <v>57</v>
      </c>
      <c r="E28" s="30">
        <v>22</v>
      </c>
      <c r="F28" s="30">
        <v>5</v>
      </c>
      <c r="G28" s="32">
        <v>45331</v>
      </c>
    </row>
    <row r="29" spans="1:7" ht="20.100000000000001" customHeight="1" x14ac:dyDescent="0.25">
      <c r="A29" s="30">
        <v>1028</v>
      </c>
      <c r="B29" s="31" t="s">
        <v>81</v>
      </c>
      <c r="C29" s="31" t="s">
        <v>55</v>
      </c>
      <c r="D29" s="31" t="s">
        <v>60</v>
      </c>
      <c r="E29" s="30">
        <v>27</v>
      </c>
      <c r="F29" s="30">
        <v>8</v>
      </c>
      <c r="G29" s="32">
        <v>45332</v>
      </c>
    </row>
    <row r="30" spans="1:7" ht="20.100000000000001" customHeight="1" x14ac:dyDescent="0.25">
      <c r="A30" s="30">
        <v>1029</v>
      </c>
      <c r="B30" s="31" t="s">
        <v>82</v>
      </c>
      <c r="C30" s="31" t="s">
        <v>46</v>
      </c>
      <c r="D30" s="31" t="s">
        <v>47</v>
      </c>
      <c r="E30" s="30">
        <v>13</v>
      </c>
      <c r="F30" s="30">
        <v>50</v>
      </c>
      <c r="G30" s="32">
        <v>45334</v>
      </c>
    </row>
    <row r="31" spans="1:7" ht="20.100000000000001" customHeight="1" x14ac:dyDescent="0.25">
      <c r="A31" s="30">
        <v>1030</v>
      </c>
      <c r="B31" s="31" t="s">
        <v>83</v>
      </c>
      <c r="C31" s="31" t="s">
        <v>49</v>
      </c>
      <c r="D31" s="31" t="s">
        <v>50</v>
      </c>
      <c r="E31" s="30">
        <v>32</v>
      </c>
      <c r="F31" s="30">
        <v>10</v>
      </c>
      <c r="G31" s="32">
        <v>45335</v>
      </c>
    </row>
    <row r="32" spans="1:7" ht="20.100000000000001" customHeight="1" x14ac:dyDescent="0.25">
      <c r="A32" s="30">
        <v>1031</v>
      </c>
      <c r="B32" s="31" t="s">
        <v>84</v>
      </c>
      <c r="C32" s="31" t="s">
        <v>52</v>
      </c>
      <c r="D32" s="31" t="s">
        <v>53</v>
      </c>
      <c r="E32" s="30">
        <v>10</v>
      </c>
      <c r="F32" s="30">
        <v>25</v>
      </c>
      <c r="G32" s="32">
        <v>45336</v>
      </c>
    </row>
    <row r="33" spans="1:7" ht="20.100000000000001" customHeight="1" x14ac:dyDescent="0.25">
      <c r="A33" s="30">
        <v>1032</v>
      </c>
      <c r="B33" s="31" t="s">
        <v>85</v>
      </c>
      <c r="C33" s="31" t="s">
        <v>55</v>
      </c>
      <c r="D33" s="31" t="s">
        <v>57</v>
      </c>
      <c r="E33" s="30">
        <v>18</v>
      </c>
      <c r="F33" s="30">
        <v>5</v>
      </c>
      <c r="G33" s="32">
        <v>45338</v>
      </c>
    </row>
    <row r="34" spans="1:7" ht="20.100000000000001" customHeight="1" x14ac:dyDescent="0.25">
      <c r="A34" s="30">
        <v>1033</v>
      </c>
      <c r="B34" s="31" t="s">
        <v>86</v>
      </c>
      <c r="C34" s="31" t="s">
        <v>46</v>
      </c>
      <c r="D34" s="31" t="s">
        <v>60</v>
      </c>
      <c r="E34" s="30">
        <v>22</v>
      </c>
      <c r="F34" s="30">
        <v>8</v>
      </c>
      <c r="G34" s="32">
        <v>45339</v>
      </c>
    </row>
    <row r="35" spans="1:7" ht="20.100000000000001" customHeight="1" x14ac:dyDescent="0.25">
      <c r="A35" s="30">
        <v>1034</v>
      </c>
      <c r="B35" s="31" t="s">
        <v>87</v>
      </c>
      <c r="C35" s="31" t="s">
        <v>49</v>
      </c>
      <c r="D35" s="31" t="s">
        <v>47</v>
      </c>
      <c r="E35" s="30">
        <v>17</v>
      </c>
      <c r="F35" s="30">
        <v>50</v>
      </c>
      <c r="G35" s="32">
        <v>45340</v>
      </c>
    </row>
    <row r="36" spans="1:7" ht="20.100000000000001" customHeight="1" x14ac:dyDescent="0.25">
      <c r="A36" s="30">
        <v>1035</v>
      </c>
      <c r="B36" s="31" t="s">
        <v>88</v>
      </c>
      <c r="C36" s="31" t="s">
        <v>52</v>
      </c>
      <c r="D36" s="31" t="s">
        <v>50</v>
      </c>
      <c r="E36" s="30">
        <v>19</v>
      </c>
      <c r="F36" s="30">
        <v>10</v>
      </c>
      <c r="G36" s="32">
        <v>45341</v>
      </c>
    </row>
    <row r="37" spans="1:7" ht="20.100000000000001" customHeight="1" x14ac:dyDescent="0.25">
      <c r="A37" s="30">
        <v>1036</v>
      </c>
      <c r="B37" s="31" t="s">
        <v>89</v>
      </c>
      <c r="C37" s="31" t="s">
        <v>55</v>
      </c>
      <c r="D37" s="31" t="s">
        <v>53</v>
      </c>
      <c r="E37" s="30">
        <v>15</v>
      </c>
      <c r="F37" s="30">
        <v>25</v>
      </c>
      <c r="G37" s="32">
        <v>45343</v>
      </c>
    </row>
    <row r="38" spans="1:7" ht="20.100000000000001" customHeight="1" x14ac:dyDescent="0.25">
      <c r="A38" s="30">
        <v>1037</v>
      </c>
      <c r="B38" s="31" t="s">
        <v>90</v>
      </c>
      <c r="C38" s="31" t="s">
        <v>46</v>
      </c>
      <c r="D38" s="31" t="s">
        <v>57</v>
      </c>
      <c r="E38" s="30">
        <v>28</v>
      </c>
      <c r="F38" s="30">
        <v>5</v>
      </c>
      <c r="G38" s="32">
        <v>45344</v>
      </c>
    </row>
    <row r="39" spans="1:7" ht="20.100000000000001" customHeight="1" x14ac:dyDescent="0.25">
      <c r="A39" s="30">
        <v>1038</v>
      </c>
      <c r="B39" s="31" t="s">
        <v>91</v>
      </c>
      <c r="C39" s="31" t="s">
        <v>49</v>
      </c>
      <c r="D39" s="31" t="s">
        <v>60</v>
      </c>
      <c r="E39" s="30">
        <v>24</v>
      </c>
      <c r="F39" s="30">
        <v>8</v>
      </c>
      <c r="G39" s="32">
        <v>45345</v>
      </c>
    </row>
    <row r="40" spans="1:7" ht="20.100000000000001" customHeight="1" x14ac:dyDescent="0.25">
      <c r="A40" s="30">
        <v>1039</v>
      </c>
      <c r="B40" s="31" t="s">
        <v>92</v>
      </c>
      <c r="C40" s="31" t="s">
        <v>52</v>
      </c>
      <c r="D40" s="31" t="s">
        <v>47</v>
      </c>
      <c r="E40" s="30">
        <v>16</v>
      </c>
      <c r="F40" s="30">
        <v>50</v>
      </c>
      <c r="G40" s="32">
        <v>45347</v>
      </c>
    </row>
    <row r="41" spans="1:7" ht="20.100000000000001" customHeight="1" x14ac:dyDescent="0.25">
      <c r="A41" s="30">
        <v>1040</v>
      </c>
      <c r="B41" s="31" t="s">
        <v>93</v>
      </c>
      <c r="C41" s="31" t="s">
        <v>55</v>
      </c>
      <c r="D41" s="31" t="s">
        <v>50</v>
      </c>
      <c r="E41" s="30">
        <v>27</v>
      </c>
      <c r="F41" s="30">
        <v>10</v>
      </c>
      <c r="G41" s="32">
        <v>45348</v>
      </c>
    </row>
    <row r="42" spans="1:7" ht="20.100000000000001" customHeight="1" x14ac:dyDescent="0.25">
      <c r="A42" s="30">
        <v>1041</v>
      </c>
      <c r="B42" s="31" t="s">
        <v>94</v>
      </c>
      <c r="C42" s="31" t="s">
        <v>46</v>
      </c>
      <c r="D42" s="31" t="s">
        <v>53</v>
      </c>
      <c r="E42" s="30">
        <v>21</v>
      </c>
      <c r="F42" s="30">
        <v>25</v>
      </c>
      <c r="G42" s="32">
        <v>45349</v>
      </c>
    </row>
    <row r="43" spans="1:7" ht="20.100000000000001" customHeight="1" x14ac:dyDescent="0.25">
      <c r="A43" s="30">
        <v>1042</v>
      </c>
      <c r="B43" s="31" t="s">
        <v>95</v>
      </c>
      <c r="C43" s="31" t="s">
        <v>49</v>
      </c>
      <c r="D43" s="31" t="s">
        <v>57</v>
      </c>
      <c r="E43" s="30">
        <v>30</v>
      </c>
      <c r="F43" s="30">
        <v>5</v>
      </c>
      <c r="G43" s="32">
        <v>45350</v>
      </c>
    </row>
    <row r="44" spans="1:7" ht="20.100000000000001" customHeight="1" x14ac:dyDescent="0.25">
      <c r="A44" s="30">
        <v>1043</v>
      </c>
      <c r="B44" s="31" t="s">
        <v>96</v>
      </c>
      <c r="C44" s="31" t="s">
        <v>52</v>
      </c>
      <c r="D44" s="31" t="s">
        <v>60</v>
      </c>
      <c r="E44" s="30">
        <v>26</v>
      </c>
      <c r="F44" s="30">
        <v>8</v>
      </c>
      <c r="G44" s="32">
        <v>45352</v>
      </c>
    </row>
    <row r="45" spans="1:7" ht="20.100000000000001" customHeight="1" x14ac:dyDescent="0.25">
      <c r="A45" s="30">
        <v>1044</v>
      </c>
      <c r="B45" s="31" t="s">
        <v>97</v>
      </c>
      <c r="C45" s="31" t="s">
        <v>55</v>
      </c>
      <c r="D45" s="31" t="s">
        <v>47</v>
      </c>
      <c r="E45" s="30">
        <v>14</v>
      </c>
      <c r="F45" s="30">
        <v>50</v>
      </c>
      <c r="G45" s="32">
        <v>45353</v>
      </c>
    </row>
    <row r="46" spans="1:7" ht="20.100000000000001" customHeight="1" x14ac:dyDescent="0.25">
      <c r="A46" s="30">
        <v>1045</v>
      </c>
      <c r="B46" s="31" t="s">
        <v>98</v>
      </c>
      <c r="C46" s="31" t="s">
        <v>46</v>
      </c>
      <c r="D46" s="31" t="s">
        <v>50</v>
      </c>
      <c r="E46" s="30">
        <v>20</v>
      </c>
      <c r="F46" s="30">
        <v>10</v>
      </c>
      <c r="G46" s="32">
        <v>45354</v>
      </c>
    </row>
    <row r="47" spans="1:7" ht="20.100000000000001" customHeight="1" x14ac:dyDescent="0.25">
      <c r="A47" s="30">
        <v>1046</v>
      </c>
      <c r="B47" s="31" t="s">
        <v>99</v>
      </c>
      <c r="C47" s="31" t="s">
        <v>49</v>
      </c>
      <c r="D47" s="31" t="s">
        <v>53</v>
      </c>
      <c r="E47" s="30">
        <v>17</v>
      </c>
      <c r="F47" s="30">
        <v>25</v>
      </c>
      <c r="G47" s="32">
        <v>45355</v>
      </c>
    </row>
    <row r="48" spans="1:7" ht="20.100000000000001" customHeight="1" x14ac:dyDescent="0.25">
      <c r="A48" s="30">
        <v>1047</v>
      </c>
      <c r="B48" s="31" t="s">
        <v>100</v>
      </c>
      <c r="C48" s="31" t="s">
        <v>52</v>
      </c>
      <c r="D48" s="31" t="s">
        <v>57</v>
      </c>
      <c r="E48" s="30">
        <v>19</v>
      </c>
      <c r="F48" s="30">
        <v>5</v>
      </c>
      <c r="G48" s="32">
        <v>45356</v>
      </c>
    </row>
    <row r="49" spans="1:7" ht="20.100000000000001" customHeight="1" x14ac:dyDescent="0.25">
      <c r="A49" s="30">
        <v>1048</v>
      </c>
      <c r="B49" s="31" t="s">
        <v>101</v>
      </c>
      <c r="C49" s="31" t="s">
        <v>55</v>
      </c>
      <c r="D49" s="31" t="s">
        <v>60</v>
      </c>
      <c r="E49" s="30">
        <v>32</v>
      </c>
      <c r="F49" s="30">
        <v>8</v>
      </c>
      <c r="G49" s="32">
        <v>45357</v>
      </c>
    </row>
    <row r="50" spans="1:7" ht="20.100000000000001" customHeight="1" x14ac:dyDescent="0.25">
      <c r="A50" s="30">
        <v>1049</v>
      </c>
      <c r="B50" s="31" t="s">
        <v>102</v>
      </c>
      <c r="C50" s="31" t="s">
        <v>46</v>
      </c>
      <c r="D50" s="31" t="s">
        <v>47</v>
      </c>
      <c r="E50" s="30">
        <v>12</v>
      </c>
      <c r="F50" s="30">
        <v>50</v>
      </c>
      <c r="G50" s="32">
        <v>45358</v>
      </c>
    </row>
    <row r="51" spans="1:7" ht="20.100000000000001" customHeight="1" x14ac:dyDescent="0.25">
      <c r="A51" s="30">
        <v>1050</v>
      </c>
      <c r="B51" s="31" t="s">
        <v>103</v>
      </c>
      <c r="C51" s="31" t="s">
        <v>49</v>
      </c>
      <c r="D51" s="31" t="s">
        <v>50</v>
      </c>
      <c r="E51" s="30">
        <v>25</v>
      </c>
      <c r="F51" s="30">
        <v>10</v>
      </c>
      <c r="G51" s="32">
        <v>45359</v>
      </c>
    </row>
  </sheetData>
  <mergeCells count="1">
    <mergeCell ref="I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9791-F474-40DF-A410-9F351248577B}">
  <dimension ref="A1:N51"/>
  <sheetViews>
    <sheetView workbookViewId="0">
      <selection activeCell="G4" sqref="G4"/>
    </sheetView>
  </sheetViews>
  <sheetFormatPr defaultRowHeight="15" x14ac:dyDescent="0.25"/>
  <cols>
    <col min="4" max="4" width="22.140625" bestFit="1" customWidth="1"/>
  </cols>
  <sheetData>
    <row r="1" spans="1:14" ht="21.75" customHeight="1" x14ac:dyDescent="0.25">
      <c r="A1" s="43" t="s">
        <v>38</v>
      </c>
      <c r="B1" s="43" t="s">
        <v>42</v>
      </c>
      <c r="C1" s="43" t="s">
        <v>43</v>
      </c>
      <c r="D1" s="43" t="s">
        <v>108</v>
      </c>
    </row>
    <row r="2" spans="1:14" x14ac:dyDescent="0.25">
      <c r="A2" s="30">
        <v>1001</v>
      </c>
      <c r="B2" s="30">
        <v>10</v>
      </c>
      <c r="C2" s="30">
        <v>50</v>
      </c>
      <c r="D2" s="36">
        <f>B2*C2</f>
        <v>500</v>
      </c>
      <c r="H2" s="42" t="s">
        <v>107</v>
      </c>
      <c r="I2" s="42"/>
      <c r="J2" s="42"/>
      <c r="K2" s="42"/>
      <c r="L2" s="42"/>
      <c r="M2" s="42"/>
      <c r="N2" s="42"/>
    </row>
    <row r="3" spans="1:14" x14ac:dyDescent="0.25">
      <c r="A3" s="30">
        <v>1002</v>
      </c>
      <c r="B3" s="30">
        <v>20</v>
      </c>
      <c r="C3" s="30">
        <v>10</v>
      </c>
      <c r="D3" s="36">
        <f t="shared" ref="D3:D51" si="0">B3*C3</f>
        <v>200</v>
      </c>
    </row>
    <row r="4" spans="1:14" x14ac:dyDescent="0.25">
      <c r="A4" s="30">
        <v>1003</v>
      </c>
      <c r="B4" s="30">
        <v>15</v>
      </c>
      <c r="C4" s="30">
        <v>25</v>
      </c>
      <c r="D4" s="36">
        <f t="shared" si="0"/>
        <v>375</v>
      </c>
    </row>
    <row r="5" spans="1:14" x14ac:dyDescent="0.25">
      <c r="A5" s="30">
        <v>1004</v>
      </c>
      <c r="B5" s="30">
        <v>5</v>
      </c>
      <c r="C5" s="30">
        <v>50</v>
      </c>
      <c r="D5" s="36">
        <f t="shared" si="0"/>
        <v>250</v>
      </c>
      <c r="I5" t="s">
        <v>109</v>
      </c>
    </row>
    <row r="6" spans="1:14" x14ac:dyDescent="0.25">
      <c r="A6" s="30">
        <v>1005</v>
      </c>
      <c r="B6" s="30">
        <v>30</v>
      </c>
      <c r="C6" s="30">
        <v>5</v>
      </c>
      <c r="D6" s="36">
        <f t="shared" si="0"/>
        <v>150</v>
      </c>
    </row>
    <row r="7" spans="1:14" x14ac:dyDescent="0.25">
      <c r="A7" s="30">
        <v>1006</v>
      </c>
      <c r="B7" s="30">
        <v>12</v>
      </c>
      <c r="C7" s="30">
        <v>50</v>
      </c>
      <c r="D7" s="36">
        <f t="shared" si="0"/>
        <v>600</v>
      </c>
    </row>
    <row r="8" spans="1:14" x14ac:dyDescent="0.25">
      <c r="A8" s="30">
        <v>1007</v>
      </c>
      <c r="B8" s="30">
        <v>25</v>
      </c>
      <c r="C8" s="30">
        <v>8</v>
      </c>
      <c r="D8" s="36">
        <f t="shared" si="0"/>
        <v>200</v>
      </c>
    </row>
    <row r="9" spans="1:14" x14ac:dyDescent="0.25">
      <c r="A9" s="30">
        <v>1008</v>
      </c>
      <c r="B9" s="30">
        <v>18</v>
      </c>
      <c r="C9" s="30">
        <v>10</v>
      </c>
      <c r="D9" s="36">
        <f t="shared" si="0"/>
        <v>180</v>
      </c>
    </row>
    <row r="10" spans="1:14" x14ac:dyDescent="0.25">
      <c r="A10" s="30">
        <v>1009</v>
      </c>
      <c r="B10" s="30">
        <v>22</v>
      </c>
      <c r="C10" s="30">
        <v>25</v>
      </c>
      <c r="D10" s="36">
        <f t="shared" si="0"/>
        <v>550</v>
      </c>
    </row>
    <row r="11" spans="1:14" x14ac:dyDescent="0.25">
      <c r="A11" s="30">
        <v>1010</v>
      </c>
      <c r="B11" s="30">
        <v>8</v>
      </c>
      <c r="C11" s="30">
        <v>50</v>
      </c>
      <c r="D11" s="36">
        <f t="shared" si="0"/>
        <v>400</v>
      </c>
    </row>
    <row r="12" spans="1:14" x14ac:dyDescent="0.25">
      <c r="A12" s="30">
        <v>1011</v>
      </c>
      <c r="B12" s="30">
        <v>40</v>
      </c>
      <c r="C12" s="30">
        <v>5</v>
      </c>
      <c r="D12" s="36">
        <f t="shared" si="0"/>
        <v>200</v>
      </c>
    </row>
    <row r="13" spans="1:14" x14ac:dyDescent="0.25">
      <c r="A13" s="30">
        <v>1012</v>
      </c>
      <c r="B13" s="30">
        <v>35</v>
      </c>
      <c r="C13" s="30">
        <v>8</v>
      </c>
      <c r="D13" s="36">
        <f t="shared" si="0"/>
        <v>280</v>
      </c>
    </row>
    <row r="14" spans="1:14" x14ac:dyDescent="0.25">
      <c r="A14" s="30">
        <v>1013</v>
      </c>
      <c r="B14" s="30">
        <v>14</v>
      </c>
      <c r="C14" s="30">
        <v>50</v>
      </c>
      <c r="D14" s="36">
        <f t="shared" si="0"/>
        <v>700</v>
      </c>
    </row>
    <row r="15" spans="1:14" x14ac:dyDescent="0.25">
      <c r="A15" s="30">
        <v>1014</v>
      </c>
      <c r="B15" s="30">
        <v>28</v>
      </c>
      <c r="C15" s="30">
        <v>10</v>
      </c>
      <c r="D15" s="36">
        <f t="shared" si="0"/>
        <v>280</v>
      </c>
    </row>
    <row r="16" spans="1:14" x14ac:dyDescent="0.25">
      <c r="A16" s="30">
        <v>1015</v>
      </c>
      <c r="B16" s="30">
        <v>12</v>
      </c>
      <c r="C16" s="30">
        <v>25</v>
      </c>
      <c r="D16" s="36">
        <f t="shared" si="0"/>
        <v>300</v>
      </c>
    </row>
    <row r="17" spans="1:4" x14ac:dyDescent="0.25">
      <c r="A17" s="30">
        <v>1016</v>
      </c>
      <c r="B17" s="30">
        <v>25</v>
      </c>
      <c r="C17" s="30">
        <v>5</v>
      </c>
      <c r="D17" s="36">
        <f t="shared" si="0"/>
        <v>125</v>
      </c>
    </row>
    <row r="18" spans="1:4" x14ac:dyDescent="0.25">
      <c r="A18" s="30">
        <v>1017</v>
      </c>
      <c r="B18" s="30">
        <v>20</v>
      </c>
      <c r="C18" s="30">
        <v>8</v>
      </c>
      <c r="D18" s="36">
        <f t="shared" si="0"/>
        <v>160</v>
      </c>
    </row>
    <row r="19" spans="1:4" x14ac:dyDescent="0.25">
      <c r="A19" s="30">
        <v>1018</v>
      </c>
      <c r="B19" s="30">
        <v>10</v>
      </c>
      <c r="C19" s="30">
        <v>50</v>
      </c>
      <c r="D19" s="36">
        <f t="shared" si="0"/>
        <v>500</v>
      </c>
    </row>
    <row r="20" spans="1:4" x14ac:dyDescent="0.25">
      <c r="A20" s="30">
        <v>1019</v>
      </c>
      <c r="B20" s="30">
        <v>15</v>
      </c>
      <c r="C20" s="30">
        <v>10</v>
      </c>
      <c r="D20" s="36">
        <f t="shared" si="0"/>
        <v>150</v>
      </c>
    </row>
    <row r="21" spans="1:4" x14ac:dyDescent="0.25">
      <c r="A21" s="30">
        <v>1020</v>
      </c>
      <c r="B21" s="30">
        <v>18</v>
      </c>
      <c r="C21" s="30">
        <v>25</v>
      </c>
      <c r="D21" s="36">
        <f t="shared" si="0"/>
        <v>450</v>
      </c>
    </row>
    <row r="22" spans="1:4" x14ac:dyDescent="0.25">
      <c r="A22" s="30">
        <v>1021</v>
      </c>
      <c r="B22" s="30">
        <v>9</v>
      </c>
      <c r="C22" s="30">
        <v>50</v>
      </c>
      <c r="D22" s="36">
        <f t="shared" si="0"/>
        <v>450</v>
      </c>
    </row>
    <row r="23" spans="1:4" x14ac:dyDescent="0.25">
      <c r="A23" s="30">
        <v>1022</v>
      </c>
      <c r="B23" s="30">
        <v>35</v>
      </c>
      <c r="C23" s="30">
        <v>5</v>
      </c>
      <c r="D23" s="36">
        <f t="shared" si="0"/>
        <v>175</v>
      </c>
    </row>
    <row r="24" spans="1:4" x14ac:dyDescent="0.25">
      <c r="A24" s="30">
        <v>1023</v>
      </c>
      <c r="B24" s="30">
        <v>30</v>
      </c>
      <c r="C24" s="30">
        <v>8</v>
      </c>
      <c r="D24" s="36">
        <f t="shared" si="0"/>
        <v>240</v>
      </c>
    </row>
    <row r="25" spans="1:4" x14ac:dyDescent="0.25">
      <c r="A25" s="30">
        <v>1024</v>
      </c>
      <c r="B25" s="30">
        <v>11</v>
      </c>
      <c r="C25" s="30">
        <v>50</v>
      </c>
      <c r="D25" s="36">
        <f t="shared" si="0"/>
        <v>550</v>
      </c>
    </row>
    <row r="26" spans="1:4" x14ac:dyDescent="0.25">
      <c r="A26" s="30">
        <v>1025</v>
      </c>
      <c r="B26" s="30">
        <v>14</v>
      </c>
      <c r="C26" s="30">
        <v>10</v>
      </c>
      <c r="D26" s="36">
        <f t="shared" si="0"/>
        <v>140</v>
      </c>
    </row>
    <row r="27" spans="1:4" x14ac:dyDescent="0.25">
      <c r="A27" s="30">
        <v>1026</v>
      </c>
      <c r="B27" s="30">
        <v>16</v>
      </c>
      <c r="C27" s="30">
        <v>25</v>
      </c>
      <c r="D27" s="36">
        <f t="shared" si="0"/>
        <v>400</v>
      </c>
    </row>
    <row r="28" spans="1:4" x14ac:dyDescent="0.25">
      <c r="A28" s="30">
        <v>1027</v>
      </c>
      <c r="B28" s="30">
        <v>22</v>
      </c>
      <c r="C28" s="30">
        <v>5</v>
      </c>
      <c r="D28" s="36">
        <f t="shared" si="0"/>
        <v>110</v>
      </c>
    </row>
    <row r="29" spans="1:4" x14ac:dyDescent="0.25">
      <c r="A29" s="30">
        <v>1028</v>
      </c>
      <c r="B29" s="30">
        <v>27</v>
      </c>
      <c r="C29" s="30">
        <v>8</v>
      </c>
      <c r="D29" s="36">
        <f t="shared" si="0"/>
        <v>216</v>
      </c>
    </row>
    <row r="30" spans="1:4" x14ac:dyDescent="0.25">
      <c r="A30" s="30">
        <v>1029</v>
      </c>
      <c r="B30" s="30">
        <v>13</v>
      </c>
      <c r="C30" s="30">
        <v>50</v>
      </c>
      <c r="D30" s="36">
        <f t="shared" si="0"/>
        <v>650</v>
      </c>
    </row>
    <row r="31" spans="1:4" x14ac:dyDescent="0.25">
      <c r="A31" s="30">
        <v>1030</v>
      </c>
      <c r="B31" s="30">
        <v>32</v>
      </c>
      <c r="C31" s="30">
        <v>10</v>
      </c>
      <c r="D31" s="36">
        <f t="shared" si="0"/>
        <v>320</v>
      </c>
    </row>
    <row r="32" spans="1:4" x14ac:dyDescent="0.25">
      <c r="A32" s="30">
        <v>1031</v>
      </c>
      <c r="B32" s="30">
        <v>10</v>
      </c>
      <c r="C32" s="30">
        <v>25</v>
      </c>
      <c r="D32" s="36">
        <f t="shared" si="0"/>
        <v>250</v>
      </c>
    </row>
    <row r="33" spans="1:4" x14ac:dyDescent="0.25">
      <c r="A33" s="30">
        <v>1032</v>
      </c>
      <c r="B33" s="30">
        <v>18</v>
      </c>
      <c r="C33" s="30">
        <v>5</v>
      </c>
      <c r="D33" s="36">
        <f t="shared" si="0"/>
        <v>90</v>
      </c>
    </row>
    <row r="34" spans="1:4" x14ac:dyDescent="0.25">
      <c r="A34" s="30">
        <v>1033</v>
      </c>
      <c r="B34" s="30">
        <v>22</v>
      </c>
      <c r="C34" s="30">
        <v>8</v>
      </c>
      <c r="D34" s="36">
        <f t="shared" si="0"/>
        <v>176</v>
      </c>
    </row>
    <row r="35" spans="1:4" x14ac:dyDescent="0.25">
      <c r="A35" s="30">
        <v>1034</v>
      </c>
      <c r="B35" s="30">
        <v>17</v>
      </c>
      <c r="C35" s="30">
        <v>50</v>
      </c>
      <c r="D35" s="36">
        <f t="shared" si="0"/>
        <v>850</v>
      </c>
    </row>
    <row r="36" spans="1:4" x14ac:dyDescent="0.25">
      <c r="A36" s="30">
        <v>1035</v>
      </c>
      <c r="B36" s="30">
        <v>19</v>
      </c>
      <c r="C36" s="30">
        <v>10</v>
      </c>
      <c r="D36" s="36">
        <f t="shared" si="0"/>
        <v>190</v>
      </c>
    </row>
    <row r="37" spans="1:4" x14ac:dyDescent="0.25">
      <c r="A37" s="30">
        <v>1036</v>
      </c>
      <c r="B37" s="30">
        <v>15</v>
      </c>
      <c r="C37" s="30">
        <v>25</v>
      </c>
      <c r="D37" s="36">
        <f t="shared" si="0"/>
        <v>375</v>
      </c>
    </row>
    <row r="38" spans="1:4" x14ac:dyDescent="0.25">
      <c r="A38" s="30">
        <v>1037</v>
      </c>
      <c r="B38" s="30">
        <v>28</v>
      </c>
      <c r="C38" s="30">
        <v>5</v>
      </c>
      <c r="D38" s="36">
        <f t="shared" si="0"/>
        <v>140</v>
      </c>
    </row>
    <row r="39" spans="1:4" x14ac:dyDescent="0.25">
      <c r="A39" s="30">
        <v>1038</v>
      </c>
      <c r="B39" s="30">
        <v>24</v>
      </c>
      <c r="C39" s="30">
        <v>8</v>
      </c>
      <c r="D39" s="36">
        <f t="shared" si="0"/>
        <v>192</v>
      </c>
    </row>
    <row r="40" spans="1:4" x14ac:dyDescent="0.25">
      <c r="A40" s="30">
        <v>1039</v>
      </c>
      <c r="B40" s="30">
        <v>16</v>
      </c>
      <c r="C40" s="30">
        <v>50</v>
      </c>
      <c r="D40" s="36">
        <f t="shared" si="0"/>
        <v>800</v>
      </c>
    </row>
    <row r="41" spans="1:4" x14ac:dyDescent="0.25">
      <c r="A41" s="30">
        <v>1040</v>
      </c>
      <c r="B41" s="30">
        <v>27</v>
      </c>
      <c r="C41" s="30">
        <v>10</v>
      </c>
      <c r="D41" s="36">
        <f t="shared" si="0"/>
        <v>270</v>
      </c>
    </row>
    <row r="42" spans="1:4" x14ac:dyDescent="0.25">
      <c r="A42" s="30">
        <v>1041</v>
      </c>
      <c r="B42" s="30">
        <v>21</v>
      </c>
      <c r="C42" s="30">
        <v>25</v>
      </c>
      <c r="D42" s="36">
        <f t="shared" si="0"/>
        <v>525</v>
      </c>
    </row>
    <row r="43" spans="1:4" x14ac:dyDescent="0.25">
      <c r="A43" s="30">
        <v>1042</v>
      </c>
      <c r="B43" s="30">
        <v>30</v>
      </c>
      <c r="C43" s="30">
        <v>5</v>
      </c>
      <c r="D43" s="36">
        <f t="shared" si="0"/>
        <v>150</v>
      </c>
    </row>
    <row r="44" spans="1:4" x14ac:dyDescent="0.25">
      <c r="A44" s="30">
        <v>1043</v>
      </c>
      <c r="B44" s="30">
        <v>26</v>
      </c>
      <c r="C44" s="30">
        <v>8</v>
      </c>
      <c r="D44" s="36">
        <f t="shared" si="0"/>
        <v>208</v>
      </c>
    </row>
    <row r="45" spans="1:4" x14ac:dyDescent="0.25">
      <c r="A45" s="30">
        <v>1044</v>
      </c>
      <c r="B45" s="30">
        <v>14</v>
      </c>
      <c r="C45" s="30">
        <v>50</v>
      </c>
      <c r="D45" s="36">
        <f t="shared" si="0"/>
        <v>700</v>
      </c>
    </row>
    <row r="46" spans="1:4" x14ac:dyDescent="0.25">
      <c r="A46" s="30">
        <v>1045</v>
      </c>
      <c r="B46" s="30">
        <v>20</v>
      </c>
      <c r="C46" s="30">
        <v>10</v>
      </c>
      <c r="D46" s="36">
        <f t="shared" si="0"/>
        <v>200</v>
      </c>
    </row>
    <row r="47" spans="1:4" x14ac:dyDescent="0.25">
      <c r="A47" s="30">
        <v>1046</v>
      </c>
      <c r="B47" s="30">
        <v>17</v>
      </c>
      <c r="C47" s="30">
        <v>25</v>
      </c>
      <c r="D47" s="36">
        <f t="shared" si="0"/>
        <v>425</v>
      </c>
    </row>
    <row r="48" spans="1:4" x14ac:dyDescent="0.25">
      <c r="A48" s="30">
        <v>1047</v>
      </c>
      <c r="B48" s="30">
        <v>19</v>
      </c>
      <c r="C48" s="30">
        <v>5</v>
      </c>
      <c r="D48" s="36">
        <f t="shared" si="0"/>
        <v>95</v>
      </c>
    </row>
    <row r="49" spans="1:4" x14ac:dyDescent="0.25">
      <c r="A49" s="30">
        <v>1048</v>
      </c>
      <c r="B49" s="30">
        <v>32</v>
      </c>
      <c r="C49" s="30">
        <v>8</v>
      </c>
      <c r="D49" s="36">
        <f t="shared" si="0"/>
        <v>256</v>
      </c>
    </row>
    <row r="50" spans="1:4" x14ac:dyDescent="0.25">
      <c r="A50" s="30">
        <v>1049</v>
      </c>
      <c r="B50" s="30">
        <v>12</v>
      </c>
      <c r="C50" s="30">
        <v>50</v>
      </c>
      <c r="D50" s="36">
        <f t="shared" si="0"/>
        <v>600</v>
      </c>
    </row>
    <row r="51" spans="1:4" x14ac:dyDescent="0.25">
      <c r="A51" s="30">
        <v>1050</v>
      </c>
      <c r="B51" s="30">
        <v>25</v>
      </c>
      <c r="C51" s="30">
        <v>10</v>
      </c>
      <c r="D51" s="36">
        <f t="shared" si="0"/>
        <v>250</v>
      </c>
    </row>
  </sheetData>
  <mergeCells count="1">
    <mergeCell ref="H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E7F11-1D4A-4A90-B30C-510C3097FE63}">
  <dimension ref="A1:P51"/>
  <sheetViews>
    <sheetView workbookViewId="0">
      <selection activeCell="I7" sqref="I7"/>
    </sheetView>
  </sheetViews>
  <sheetFormatPr defaultRowHeight="15" x14ac:dyDescent="0.25"/>
  <cols>
    <col min="2" max="2" width="7.140625" bestFit="1" customWidth="1"/>
    <col min="3" max="3" width="12.28515625" customWidth="1"/>
    <col min="4" max="4" width="8.7109375" bestFit="1" customWidth="1"/>
    <col min="5" max="5" width="10.140625" customWidth="1"/>
    <col min="6" max="6" width="11.42578125" customWidth="1"/>
    <col min="9" max="9" width="44.28515625" bestFit="1" customWidth="1"/>
  </cols>
  <sheetData>
    <row r="1" spans="1:16" ht="15.75" thickBot="1" x14ac:dyDescent="0.3">
      <c r="A1" s="44" t="s">
        <v>38</v>
      </c>
      <c r="B1" s="44" t="s">
        <v>40</v>
      </c>
      <c r="C1" s="44" t="s">
        <v>41</v>
      </c>
      <c r="D1" s="44" t="s">
        <v>42</v>
      </c>
      <c r="E1" s="44" t="s">
        <v>43</v>
      </c>
      <c r="F1" s="45" t="s">
        <v>110</v>
      </c>
    </row>
    <row r="2" spans="1:16" ht="15.75" thickBot="1" x14ac:dyDescent="0.3">
      <c r="A2" s="25">
        <v>1001</v>
      </c>
      <c r="B2" s="26" t="s">
        <v>46</v>
      </c>
      <c r="C2" s="26" t="s">
        <v>47</v>
      </c>
      <c r="D2" s="25">
        <v>10</v>
      </c>
      <c r="E2" s="25">
        <v>50</v>
      </c>
      <c r="F2">
        <f>D2*E2</f>
        <v>500</v>
      </c>
    </row>
    <row r="3" spans="1:16" ht="15.75" thickBot="1" x14ac:dyDescent="0.3">
      <c r="A3" s="25">
        <v>1002</v>
      </c>
      <c r="B3" s="26" t="s">
        <v>49</v>
      </c>
      <c r="C3" s="26" t="s">
        <v>50</v>
      </c>
      <c r="D3" s="25">
        <v>20</v>
      </c>
      <c r="E3" s="25">
        <v>10</v>
      </c>
      <c r="F3">
        <f t="shared" ref="F3:F51" si="0">D3*E3</f>
        <v>200</v>
      </c>
      <c r="I3" s="46" t="s">
        <v>111</v>
      </c>
      <c r="J3" s="46"/>
      <c r="K3" s="46"/>
      <c r="L3" s="46"/>
      <c r="M3" s="46"/>
      <c r="N3" s="46"/>
      <c r="O3" s="46"/>
      <c r="P3" s="46"/>
    </row>
    <row r="4" spans="1:16" ht="15.75" thickBot="1" x14ac:dyDescent="0.3">
      <c r="A4" s="25">
        <v>1003</v>
      </c>
      <c r="B4" s="26" t="s">
        <v>52</v>
      </c>
      <c r="C4" s="26" t="s">
        <v>53</v>
      </c>
      <c r="D4" s="25">
        <v>15</v>
      </c>
      <c r="E4" s="25">
        <v>25</v>
      </c>
      <c r="F4">
        <f t="shared" si="0"/>
        <v>375</v>
      </c>
    </row>
    <row r="5" spans="1:16" ht="15.75" thickBot="1" x14ac:dyDescent="0.3">
      <c r="A5" s="25">
        <v>1004</v>
      </c>
      <c r="B5" s="26" t="s">
        <v>55</v>
      </c>
      <c r="C5" s="26" t="s">
        <v>47</v>
      </c>
      <c r="D5" s="25">
        <v>5</v>
      </c>
      <c r="E5" s="25">
        <v>50</v>
      </c>
      <c r="F5">
        <f t="shared" si="0"/>
        <v>250</v>
      </c>
      <c r="I5" s="47" t="s">
        <v>112</v>
      </c>
      <c r="J5" s="47">
        <f>SUMIFS(F2:F51,C2:C51,"Notebook",B2:B51,"north")</f>
        <v>2900</v>
      </c>
    </row>
    <row r="6" spans="1:16" ht="15.75" thickBot="1" x14ac:dyDescent="0.3">
      <c r="A6" s="25">
        <v>1005</v>
      </c>
      <c r="B6" s="26" t="s">
        <v>46</v>
      </c>
      <c r="C6" s="26" t="s">
        <v>57</v>
      </c>
      <c r="D6" s="25">
        <v>30</v>
      </c>
      <c r="E6" s="25">
        <v>5</v>
      </c>
      <c r="F6">
        <f t="shared" si="0"/>
        <v>150</v>
      </c>
    </row>
    <row r="7" spans="1:16" ht="15.75" thickBot="1" x14ac:dyDescent="0.3">
      <c r="A7" s="25">
        <v>1006</v>
      </c>
      <c r="B7" s="26" t="s">
        <v>49</v>
      </c>
      <c r="C7" s="26" t="s">
        <v>47</v>
      </c>
      <c r="D7" s="25">
        <v>12</v>
      </c>
      <c r="E7" s="25">
        <v>50</v>
      </c>
      <c r="F7">
        <f t="shared" si="0"/>
        <v>600</v>
      </c>
    </row>
    <row r="8" spans="1:16" ht="15.75" thickBot="1" x14ac:dyDescent="0.3">
      <c r="A8" s="25">
        <v>1007</v>
      </c>
      <c r="B8" s="26" t="s">
        <v>52</v>
      </c>
      <c r="C8" s="26" t="s">
        <v>60</v>
      </c>
      <c r="D8" s="25">
        <v>25</v>
      </c>
      <c r="E8" s="25">
        <v>8</v>
      </c>
      <c r="F8">
        <f t="shared" si="0"/>
        <v>200</v>
      </c>
    </row>
    <row r="9" spans="1:16" ht="15.75" thickBot="1" x14ac:dyDescent="0.3">
      <c r="A9" s="25">
        <v>1008</v>
      </c>
      <c r="B9" s="26" t="s">
        <v>55</v>
      </c>
      <c r="C9" s="26" t="s">
        <v>50</v>
      </c>
      <c r="D9" s="25">
        <v>18</v>
      </c>
      <c r="E9" s="25">
        <v>10</v>
      </c>
      <c r="F9">
        <f t="shared" si="0"/>
        <v>180</v>
      </c>
    </row>
    <row r="10" spans="1:16" ht="15.75" thickBot="1" x14ac:dyDescent="0.3">
      <c r="A10" s="25">
        <v>1009</v>
      </c>
      <c r="B10" s="26" t="s">
        <v>46</v>
      </c>
      <c r="C10" s="26" t="s">
        <v>53</v>
      </c>
      <c r="D10" s="25">
        <v>22</v>
      </c>
      <c r="E10" s="25">
        <v>25</v>
      </c>
      <c r="F10">
        <f t="shared" si="0"/>
        <v>550</v>
      </c>
    </row>
    <row r="11" spans="1:16" ht="15.75" thickBot="1" x14ac:dyDescent="0.3">
      <c r="A11" s="25">
        <v>1010</v>
      </c>
      <c r="B11" s="26" t="s">
        <v>49</v>
      </c>
      <c r="C11" s="26" t="s">
        <v>47</v>
      </c>
      <c r="D11" s="25">
        <v>8</v>
      </c>
      <c r="E11" s="25">
        <v>50</v>
      </c>
      <c r="F11">
        <f t="shared" si="0"/>
        <v>400</v>
      </c>
    </row>
    <row r="12" spans="1:16" ht="15.75" thickBot="1" x14ac:dyDescent="0.3">
      <c r="A12" s="25">
        <v>1011</v>
      </c>
      <c r="B12" s="26" t="s">
        <v>52</v>
      </c>
      <c r="C12" s="26" t="s">
        <v>57</v>
      </c>
      <c r="D12" s="25">
        <v>40</v>
      </c>
      <c r="E12" s="25">
        <v>5</v>
      </c>
      <c r="F12">
        <f t="shared" si="0"/>
        <v>200</v>
      </c>
    </row>
    <row r="13" spans="1:16" ht="15.75" thickBot="1" x14ac:dyDescent="0.3">
      <c r="A13" s="25">
        <v>1012</v>
      </c>
      <c r="B13" s="26" t="s">
        <v>55</v>
      </c>
      <c r="C13" s="26" t="s">
        <v>60</v>
      </c>
      <c r="D13" s="25">
        <v>35</v>
      </c>
      <c r="E13" s="25">
        <v>8</v>
      </c>
      <c r="F13">
        <f t="shared" si="0"/>
        <v>280</v>
      </c>
    </row>
    <row r="14" spans="1:16" ht="15.75" thickBot="1" x14ac:dyDescent="0.3">
      <c r="A14" s="25">
        <v>1013</v>
      </c>
      <c r="B14" s="26" t="s">
        <v>46</v>
      </c>
      <c r="C14" s="26" t="s">
        <v>47</v>
      </c>
      <c r="D14" s="25">
        <v>14</v>
      </c>
      <c r="E14" s="25">
        <v>50</v>
      </c>
      <c r="F14">
        <f t="shared" si="0"/>
        <v>700</v>
      </c>
    </row>
    <row r="15" spans="1:16" ht="15.75" thickBot="1" x14ac:dyDescent="0.3">
      <c r="A15" s="25">
        <v>1014</v>
      </c>
      <c r="B15" s="26" t="s">
        <v>49</v>
      </c>
      <c r="C15" s="26" t="s">
        <v>50</v>
      </c>
      <c r="D15" s="25">
        <v>28</v>
      </c>
      <c r="E15" s="25">
        <v>10</v>
      </c>
      <c r="F15">
        <f t="shared" si="0"/>
        <v>280</v>
      </c>
    </row>
    <row r="16" spans="1:16" ht="15.75" thickBot="1" x14ac:dyDescent="0.3">
      <c r="A16" s="25">
        <v>1015</v>
      </c>
      <c r="B16" s="26" t="s">
        <v>52</v>
      </c>
      <c r="C16" s="26" t="s">
        <v>53</v>
      </c>
      <c r="D16" s="25">
        <v>12</v>
      </c>
      <c r="E16" s="25">
        <v>25</v>
      </c>
      <c r="F16">
        <f t="shared" si="0"/>
        <v>300</v>
      </c>
    </row>
    <row r="17" spans="1:6" ht="15.75" thickBot="1" x14ac:dyDescent="0.3">
      <c r="A17" s="25">
        <v>1016</v>
      </c>
      <c r="B17" s="26" t="s">
        <v>55</v>
      </c>
      <c r="C17" s="26" t="s">
        <v>57</v>
      </c>
      <c r="D17" s="25">
        <v>25</v>
      </c>
      <c r="E17" s="25">
        <v>5</v>
      </c>
      <c r="F17">
        <f t="shared" si="0"/>
        <v>125</v>
      </c>
    </row>
    <row r="18" spans="1:6" ht="15.75" thickBot="1" x14ac:dyDescent="0.3">
      <c r="A18" s="25">
        <v>1017</v>
      </c>
      <c r="B18" s="26" t="s">
        <v>46</v>
      </c>
      <c r="C18" s="26" t="s">
        <v>60</v>
      </c>
      <c r="D18" s="25">
        <v>20</v>
      </c>
      <c r="E18" s="25">
        <v>8</v>
      </c>
      <c r="F18">
        <f t="shared" si="0"/>
        <v>160</v>
      </c>
    </row>
    <row r="19" spans="1:6" ht="15.75" thickBot="1" x14ac:dyDescent="0.3">
      <c r="A19" s="25">
        <v>1018</v>
      </c>
      <c r="B19" s="26" t="s">
        <v>49</v>
      </c>
      <c r="C19" s="26" t="s">
        <v>47</v>
      </c>
      <c r="D19" s="25">
        <v>10</v>
      </c>
      <c r="E19" s="25">
        <v>50</v>
      </c>
      <c r="F19">
        <f t="shared" si="0"/>
        <v>500</v>
      </c>
    </row>
    <row r="20" spans="1:6" ht="15.75" thickBot="1" x14ac:dyDescent="0.3">
      <c r="A20" s="25">
        <v>1019</v>
      </c>
      <c r="B20" s="26" t="s">
        <v>52</v>
      </c>
      <c r="C20" s="26" t="s">
        <v>50</v>
      </c>
      <c r="D20" s="25">
        <v>15</v>
      </c>
      <c r="E20" s="25">
        <v>10</v>
      </c>
      <c r="F20">
        <f t="shared" si="0"/>
        <v>150</v>
      </c>
    </row>
    <row r="21" spans="1:6" ht="15.75" thickBot="1" x14ac:dyDescent="0.3">
      <c r="A21" s="25">
        <v>1020</v>
      </c>
      <c r="B21" s="26" t="s">
        <v>55</v>
      </c>
      <c r="C21" s="26" t="s">
        <v>53</v>
      </c>
      <c r="D21" s="25">
        <v>18</v>
      </c>
      <c r="E21" s="25">
        <v>25</v>
      </c>
      <c r="F21">
        <f t="shared" si="0"/>
        <v>450</v>
      </c>
    </row>
    <row r="22" spans="1:6" ht="15.75" thickBot="1" x14ac:dyDescent="0.3">
      <c r="A22" s="25">
        <v>1021</v>
      </c>
      <c r="B22" s="26" t="s">
        <v>46</v>
      </c>
      <c r="C22" s="26" t="s">
        <v>47</v>
      </c>
      <c r="D22" s="25">
        <v>9</v>
      </c>
      <c r="E22" s="25">
        <v>50</v>
      </c>
      <c r="F22">
        <f t="shared" si="0"/>
        <v>450</v>
      </c>
    </row>
    <row r="23" spans="1:6" ht="15.75" thickBot="1" x14ac:dyDescent="0.3">
      <c r="A23" s="25">
        <v>1022</v>
      </c>
      <c r="B23" s="26" t="s">
        <v>49</v>
      </c>
      <c r="C23" s="26" t="s">
        <v>57</v>
      </c>
      <c r="D23" s="25">
        <v>35</v>
      </c>
      <c r="E23" s="25">
        <v>5</v>
      </c>
      <c r="F23">
        <f t="shared" si="0"/>
        <v>175</v>
      </c>
    </row>
    <row r="24" spans="1:6" ht="15.75" thickBot="1" x14ac:dyDescent="0.3">
      <c r="A24" s="25">
        <v>1023</v>
      </c>
      <c r="B24" s="26" t="s">
        <v>52</v>
      </c>
      <c r="C24" s="26" t="s">
        <v>60</v>
      </c>
      <c r="D24" s="25">
        <v>30</v>
      </c>
      <c r="E24" s="25">
        <v>8</v>
      </c>
      <c r="F24">
        <f t="shared" si="0"/>
        <v>240</v>
      </c>
    </row>
    <row r="25" spans="1:6" ht="15.75" thickBot="1" x14ac:dyDescent="0.3">
      <c r="A25" s="25">
        <v>1024</v>
      </c>
      <c r="B25" s="26" t="s">
        <v>55</v>
      </c>
      <c r="C25" s="26" t="s">
        <v>47</v>
      </c>
      <c r="D25" s="25">
        <v>11</v>
      </c>
      <c r="E25" s="25">
        <v>50</v>
      </c>
      <c r="F25">
        <f t="shared" si="0"/>
        <v>550</v>
      </c>
    </row>
    <row r="26" spans="1:6" ht="15.75" thickBot="1" x14ac:dyDescent="0.3">
      <c r="A26" s="25">
        <v>1025</v>
      </c>
      <c r="B26" s="26" t="s">
        <v>46</v>
      </c>
      <c r="C26" s="26" t="s">
        <v>50</v>
      </c>
      <c r="D26" s="25">
        <v>14</v>
      </c>
      <c r="E26" s="25">
        <v>10</v>
      </c>
      <c r="F26">
        <f t="shared" si="0"/>
        <v>140</v>
      </c>
    </row>
    <row r="27" spans="1:6" ht="15.75" thickBot="1" x14ac:dyDescent="0.3">
      <c r="A27" s="25">
        <v>1026</v>
      </c>
      <c r="B27" s="26" t="s">
        <v>49</v>
      </c>
      <c r="C27" s="26" t="s">
        <v>53</v>
      </c>
      <c r="D27" s="25">
        <v>16</v>
      </c>
      <c r="E27" s="25">
        <v>25</v>
      </c>
      <c r="F27">
        <f t="shared" si="0"/>
        <v>400</v>
      </c>
    </row>
    <row r="28" spans="1:6" ht="15.75" thickBot="1" x14ac:dyDescent="0.3">
      <c r="A28" s="25">
        <v>1027</v>
      </c>
      <c r="B28" s="26" t="s">
        <v>52</v>
      </c>
      <c r="C28" s="26" t="s">
        <v>57</v>
      </c>
      <c r="D28" s="25">
        <v>22</v>
      </c>
      <c r="E28" s="25">
        <v>5</v>
      </c>
      <c r="F28">
        <f t="shared" si="0"/>
        <v>110</v>
      </c>
    </row>
    <row r="29" spans="1:6" ht="15.75" thickBot="1" x14ac:dyDescent="0.3">
      <c r="A29" s="25">
        <v>1028</v>
      </c>
      <c r="B29" s="26" t="s">
        <v>55</v>
      </c>
      <c r="C29" s="26" t="s">
        <v>60</v>
      </c>
      <c r="D29" s="25">
        <v>27</v>
      </c>
      <c r="E29" s="25">
        <v>8</v>
      </c>
      <c r="F29">
        <f t="shared" si="0"/>
        <v>216</v>
      </c>
    </row>
    <row r="30" spans="1:6" ht="15.75" thickBot="1" x14ac:dyDescent="0.3">
      <c r="A30" s="25">
        <v>1029</v>
      </c>
      <c r="B30" s="26" t="s">
        <v>46</v>
      </c>
      <c r="C30" s="26" t="s">
        <v>47</v>
      </c>
      <c r="D30" s="25">
        <v>13</v>
      </c>
      <c r="E30" s="25">
        <v>50</v>
      </c>
      <c r="F30">
        <f t="shared" si="0"/>
        <v>650</v>
      </c>
    </row>
    <row r="31" spans="1:6" ht="15.75" thickBot="1" x14ac:dyDescent="0.3">
      <c r="A31" s="25">
        <v>1030</v>
      </c>
      <c r="B31" s="26" t="s">
        <v>49</v>
      </c>
      <c r="C31" s="26" t="s">
        <v>50</v>
      </c>
      <c r="D31" s="25">
        <v>32</v>
      </c>
      <c r="E31" s="25">
        <v>10</v>
      </c>
      <c r="F31">
        <f t="shared" si="0"/>
        <v>320</v>
      </c>
    </row>
    <row r="32" spans="1:6" ht="15.75" thickBot="1" x14ac:dyDescent="0.3">
      <c r="A32" s="25">
        <v>1031</v>
      </c>
      <c r="B32" s="26" t="s">
        <v>52</v>
      </c>
      <c r="C32" s="26" t="s">
        <v>53</v>
      </c>
      <c r="D32" s="25">
        <v>10</v>
      </c>
      <c r="E32" s="25">
        <v>25</v>
      </c>
      <c r="F32">
        <f t="shared" si="0"/>
        <v>250</v>
      </c>
    </row>
    <row r="33" spans="1:6" ht="15.75" thickBot="1" x14ac:dyDescent="0.3">
      <c r="A33" s="25">
        <v>1032</v>
      </c>
      <c r="B33" s="26" t="s">
        <v>55</v>
      </c>
      <c r="C33" s="26" t="s">
        <v>57</v>
      </c>
      <c r="D33" s="25">
        <v>18</v>
      </c>
      <c r="E33" s="25">
        <v>5</v>
      </c>
      <c r="F33">
        <f t="shared" si="0"/>
        <v>90</v>
      </c>
    </row>
    <row r="34" spans="1:6" ht="15.75" thickBot="1" x14ac:dyDescent="0.3">
      <c r="A34" s="25">
        <v>1033</v>
      </c>
      <c r="B34" s="26" t="s">
        <v>46</v>
      </c>
      <c r="C34" s="26" t="s">
        <v>60</v>
      </c>
      <c r="D34" s="25">
        <v>22</v>
      </c>
      <c r="E34" s="25">
        <v>8</v>
      </c>
      <c r="F34">
        <f t="shared" si="0"/>
        <v>176</v>
      </c>
    </row>
    <row r="35" spans="1:6" ht="15.75" thickBot="1" x14ac:dyDescent="0.3">
      <c r="A35" s="25">
        <v>1034</v>
      </c>
      <c r="B35" s="26" t="s">
        <v>49</v>
      </c>
      <c r="C35" s="26" t="s">
        <v>47</v>
      </c>
      <c r="D35" s="25">
        <v>17</v>
      </c>
      <c r="E35" s="25">
        <v>50</v>
      </c>
      <c r="F35">
        <f t="shared" si="0"/>
        <v>850</v>
      </c>
    </row>
    <row r="36" spans="1:6" ht="15.75" thickBot="1" x14ac:dyDescent="0.3">
      <c r="A36" s="25">
        <v>1035</v>
      </c>
      <c r="B36" s="26" t="s">
        <v>52</v>
      </c>
      <c r="C36" s="26" t="s">
        <v>50</v>
      </c>
      <c r="D36" s="25">
        <v>19</v>
      </c>
      <c r="E36" s="25">
        <v>10</v>
      </c>
      <c r="F36">
        <f t="shared" si="0"/>
        <v>190</v>
      </c>
    </row>
    <row r="37" spans="1:6" ht="15.75" thickBot="1" x14ac:dyDescent="0.3">
      <c r="A37" s="25">
        <v>1036</v>
      </c>
      <c r="B37" s="26" t="s">
        <v>55</v>
      </c>
      <c r="C37" s="26" t="s">
        <v>53</v>
      </c>
      <c r="D37" s="25">
        <v>15</v>
      </c>
      <c r="E37" s="25">
        <v>25</v>
      </c>
      <c r="F37">
        <f t="shared" si="0"/>
        <v>375</v>
      </c>
    </row>
    <row r="38" spans="1:6" ht="15.75" thickBot="1" x14ac:dyDescent="0.3">
      <c r="A38" s="25">
        <v>1037</v>
      </c>
      <c r="B38" s="26" t="s">
        <v>46</v>
      </c>
      <c r="C38" s="26" t="s">
        <v>57</v>
      </c>
      <c r="D38" s="25">
        <v>28</v>
      </c>
      <c r="E38" s="25">
        <v>5</v>
      </c>
      <c r="F38">
        <f t="shared" si="0"/>
        <v>140</v>
      </c>
    </row>
    <row r="39" spans="1:6" ht="15.75" thickBot="1" x14ac:dyDescent="0.3">
      <c r="A39" s="25">
        <v>1038</v>
      </c>
      <c r="B39" s="26" t="s">
        <v>49</v>
      </c>
      <c r="C39" s="26" t="s">
        <v>60</v>
      </c>
      <c r="D39" s="25">
        <v>24</v>
      </c>
      <c r="E39" s="25">
        <v>8</v>
      </c>
      <c r="F39">
        <f t="shared" si="0"/>
        <v>192</v>
      </c>
    </row>
    <row r="40" spans="1:6" ht="15.75" thickBot="1" x14ac:dyDescent="0.3">
      <c r="A40" s="25">
        <v>1039</v>
      </c>
      <c r="B40" s="26" t="s">
        <v>52</v>
      </c>
      <c r="C40" s="26" t="s">
        <v>47</v>
      </c>
      <c r="D40" s="25">
        <v>16</v>
      </c>
      <c r="E40" s="25">
        <v>50</v>
      </c>
      <c r="F40">
        <f t="shared" si="0"/>
        <v>800</v>
      </c>
    </row>
    <row r="41" spans="1:6" ht="15.75" thickBot="1" x14ac:dyDescent="0.3">
      <c r="A41" s="25">
        <v>1040</v>
      </c>
      <c r="B41" s="26" t="s">
        <v>55</v>
      </c>
      <c r="C41" s="26" t="s">
        <v>50</v>
      </c>
      <c r="D41" s="25">
        <v>27</v>
      </c>
      <c r="E41" s="25">
        <v>10</v>
      </c>
      <c r="F41">
        <f t="shared" si="0"/>
        <v>270</v>
      </c>
    </row>
    <row r="42" spans="1:6" ht="15.75" thickBot="1" x14ac:dyDescent="0.3">
      <c r="A42" s="25">
        <v>1041</v>
      </c>
      <c r="B42" s="26" t="s">
        <v>46</v>
      </c>
      <c r="C42" s="26" t="s">
        <v>53</v>
      </c>
      <c r="D42" s="25">
        <v>21</v>
      </c>
      <c r="E42" s="25">
        <v>25</v>
      </c>
      <c r="F42">
        <f t="shared" si="0"/>
        <v>525</v>
      </c>
    </row>
    <row r="43" spans="1:6" ht="15.75" thickBot="1" x14ac:dyDescent="0.3">
      <c r="A43" s="25">
        <v>1042</v>
      </c>
      <c r="B43" s="26" t="s">
        <v>49</v>
      </c>
      <c r="C43" s="26" t="s">
        <v>57</v>
      </c>
      <c r="D43" s="25">
        <v>30</v>
      </c>
      <c r="E43" s="25">
        <v>5</v>
      </c>
      <c r="F43">
        <f t="shared" si="0"/>
        <v>150</v>
      </c>
    </row>
    <row r="44" spans="1:6" ht="15.75" thickBot="1" x14ac:dyDescent="0.3">
      <c r="A44" s="25">
        <v>1043</v>
      </c>
      <c r="B44" s="26" t="s">
        <v>52</v>
      </c>
      <c r="C44" s="26" t="s">
        <v>60</v>
      </c>
      <c r="D44" s="25">
        <v>26</v>
      </c>
      <c r="E44" s="25">
        <v>8</v>
      </c>
      <c r="F44">
        <f t="shared" si="0"/>
        <v>208</v>
      </c>
    </row>
    <row r="45" spans="1:6" ht="15.75" thickBot="1" x14ac:dyDescent="0.3">
      <c r="A45" s="25">
        <v>1044</v>
      </c>
      <c r="B45" s="26" t="s">
        <v>55</v>
      </c>
      <c r="C45" s="26" t="s">
        <v>47</v>
      </c>
      <c r="D45" s="25">
        <v>14</v>
      </c>
      <c r="E45" s="25">
        <v>50</v>
      </c>
      <c r="F45">
        <f t="shared" si="0"/>
        <v>700</v>
      </c>
    </row>
    <row r="46" spans="1:6" ht="15.75" thickBot="1" x14ac:dyDescent="0.3">
      <c r="A46" s="25">
        <v>1045</v>
      </c>
      <c r="B46" s="26" t="s">
        <v>46</v>
      </c>
      <c r="C46" s="26" t="s">
        <v>50</v>
      </c>
      <c r="D46" s="25">
        <v>20</v>
      </c>
      <c r="E46" s="25">
        <v>10</v>
      </c>
      <c r="F46">
        <f t="shared" si="0"/>
        <v>200</v>
      </c>
    </row>
    <row r="47" spans="1:6" ht="15.75" thickBot="1" x14ac:dyDescent="0.3">
      <c r="A47" s="25">
        <v>1046</v>
      </c>
      <c r="B47" s="26" t="s">
        <v>49</v>
      </c>
      <c r="C47" s="26" t="s">
        <v>53</v>
      </c>
      <c r="D47" s="25">
        <v>17</v>
      </c>
      <c r="E47" s="25">
        <v>25</v>
      </c>
      <c r="F47">
        <f t="shared" si="0"/>
        <v>425</v>
      </c>
    </row>
    <row r="48" spans="1:6" ht="15.75" thickBot="1" x14ac:dyDescent="0.3">
      <c r="A48" s="25">
        <v>1047</v>
      </c>
      <c r="B48" s="26" t="s">
        <v>52</v>
      </c>
      <c r="C48" s="26" t="s">
        <v>57</v>
      </c>
      <c r="D48" s="25">
        <v>19</v>
      </c>
      <c r="E48" s="25">
        <v>5</v>
      </c>
      <c r="F48">
        <f t="shared" si="0"/>
        <v>95</v>
      </c>
    </row>
    <row r="49" spans="1:6" ht="15.75" thickBot="1" x14ac:dyDescent="0.3">
      <c r="A49" s="25">
        <v>1048</v>
      </c>
      <c r="B49" s="26" t="s">
        <v>55</v>
      </c>
      <c r="C49" s="26" t="s">
        <v>60</v>
      </c>
      <c r="D49" s="25">
        <v>32</v>
      </c>
      <c r="E49" s="25">
        <v>8</v>
      </c>
      <c r="F49">
        <f t="shared" si="0"/>
        <v>256</v>
      </c>
    </row>
    <row r="50" spans="1:6" ht="15.75" thickBot="1" x14ac:dyDescent="0.3">
      <c r="A50" s="25">
        <v>1049</v>
      </c>
      <c r="B50" s="26" t="s">
        <v>46</v>
      </c>
      <c r="C50" s="26" t="s">
        <v>47</v>
      </c>
      <c r="D50" s="25">
        <v>12</v>
      </c>
      <c r="E50" s="25">
        <v>50</v>
      </c>
      <c r="F50">
        <f t="shared" si="0"/>
        <v>600</v>
      </c>
    </row>
    <row r="51" spans="1:6" ht="15.75" thickBot="1" x14ac:dyDescent="0.3">
      <c r="A51" s="25">
        <v>1050</v>
      </c>
      <c r="B51" s="26" t="s">
        <v>49</v>
      </c>
      <c r="C51" s="26" t="s">
        <v>50</v>
      </c>
      <c r="D51" s="25">
        <v>25</v>
      </c>
      <c r="E51" s="25">
        <v>10</v>
      </c>
      <c r="F51">
        <f t="shared" si="0"/>
        <v>250</v>
      </c>
    </row>
  </sheetData>
  <mergeCells count="1">
    <mergeCell ref="I3:P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2297-452F-48A1-8B78-B9D4385DECD8}">
  <dimension ref="A1:J9"/>
  <sheetViews>
    <sheetView workbookViewId="0">
      <selection activeCell="M3" sqref="M3"/>
    </sheetView>
  </sheetViews>
  <sheetFormatPr defaultRowHeight="15" x14ac:dyDescent="0.25"/>
  <cols>
    <col min="1" max="1" width="13.140625" bestFit="1" customWidth="1"/>
    <col min="2" max="2" width="17" bestFit="1" customWidth="1"/>
  </cols>
  <sheetData>
    <row r="1" spans="1:10" x14ac:dyDescent="0.25">
      <c r="D1" s="48" t="s">
        <v>116</v>
      </c>
      <c r="E1" s="48"/>
      <c r="F1" s="48"/>
      <c r="G1" s="48"/>
      <c r="H1" s="48"/>
      <c r="I1" s="48"/>
      <c r="J1" s="48"/>
    </row>
    <row r="3" spans="1:10" x14ac:dyDescent="0.25">
      <c r="A3" s="27" t="s">
        <v>113</v>
      </c>
      <c r="B3" t="s">
        <v>115</v>
      </c>
    </row>
    <row r="4" spans="1:10" x14ac:dyDescent="0.25">
      <c r="A4" s="28" t="s">
        <v>60</v>
      </c>
      <c r="B4" s="29">
        <v>1928</v>
      </c>
    </row>
    <row r="5" spans="1:10" x14ac:dyDescent="0.25">
      <c r="A5" s="28" t="s">
        <v>53</v>
      </c>
      <c r="B5" s="29">
        <v>3650</v>
      </c>
    </row>
    <row r="6" spans="1:10" x14ac:dyDescent="0.25">
      <c r="A6" s="28" t="s">
        <v>47</v>
      </c>
      <c r="B6" s="29">
        <v>7550</v>
      </c>
    </row>
    <row r="7" spans="1:10" x14ac:dyDescent="0.25">
      <c r="A7" s="28" t="s">
        <v>50</v>
      </c>
      <c r="B7" s="29">
        <v>2180</v>
      </c>
    </row>
    <row r="8" spans="1:10" x14ac:dyDescent="0.25">
      <c r="A8" s="28" t="s">
        <v>57</v>
      </c>
      <c r="B8" s="29">
        <v>1235</v>
      </c>
    </row>
    <row r="9" spans="1:10" x14ac:dyDescent="0.25">
      <c r="A9" s="28" t="s">
        <v>114</v>
      </c>
      <c r="B9" s="29">
        <v>16543</v>
      </c>
    </row>
  </sheetData>
  <mergeCells count="1">
    <mergeCell ref="D1:J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90AD-F2C6-4FD7-93E7-F475AF71257D}">
  <dimension ref="A1:O51"/>
  <sheetViews>
    <sheetView tabSelected="1" workbookViewId="0">
      <selection activeCell="J3" sqref="J3"/>
    </sheetView>
  </sheetViews>
  <sheetFormatPr defaultRowHeight="15" x14ac:dyDescent="0.25"/>
  <cols>
    <col min="2" max="2" width="14.7109375" customWidth="1"/>
    <col min="3" max="3" width="7.140625" bestFit="1" customWidth="1"/>
    <col min="4" max="4" width="9.85546875" bestFit="1" customWidth="1"/>
    <col min="5" max="5" width="8.7109375" bestFit="1" customWidth="1"/>
    <col min="6" max="6" width="11.7109375" customWidth="1"/>
    <col min="7" max="7" width="13.140625" customWidth="1"/>
    <col min="8" max="8" width="10.28515625" bestFit="1" customWidth="1"/>
  </cols>
  <sheetData>
    <row r="1" spans="1:15" ht="18" customHeight="1" x14ac:dyDescent="0.25">
      <c r="A1" s="37" t="s">
        <v>38</v>
      </c>
      <c r="B1" s="37" t="s">
        <v>39</v>
      </c>
      <c r="C1" s="37" t="s">
        <v>40</v>
      </c>
      <c r="D1" s="37" t="s">
        <v>41</v>
      </c>
      <c r="E1" s="37" t="s">
        <v>42</v>
      </c>
      <c r="F1" s="37" t="s">
        <v>43</v>
      </c>
      <c r="G1" s="37" t="s">
        <v>44</v>
      </c>
      <c r="H1" s="37" t="s">
        <v>110</v>
      </c>
      <c r="J1" s="33" t="s">
        <v>117</v>
      </c>
      <c r="K1" s="34"/>
      <c r="L1" s="34"/>
      <c r="M1" s="34"/>
      <c r="N1" s="34"/>
      <c r="O1" s="34"/>
    </row>
    <row r="2" spans="1:15" ht="18" customHeight="1" x14ac:dyDescent="0.25">
      <c r="A2" s="30">
        <v>1001</v>
      </c>
      <c r="B2" s="31" t="s">
        <v>45</v>
      </c>
      <c r="C2" s="31" t="s">
        <v>46</v>
      </c>
      <c r="D2" s="31" t="s">
        <v>47</v>
      </c>
      <c r="E2" s="30">
        <v>10</v>
      </c>
      <c r="F2" s="30">
        <v>50</v>
      </c>
      <c r="G2" s="32">
        <v>45296</v>
      </c>
      <c r="H2" s="11">
        <f>F2*G2</f>
        <v>2264800</v>
      </c>
    </row>
    <row r="3" spans="1:15" ht="18" customHeight="1" x14ac:dyDescent="0.25">
      <c r="A3" s="30">
        <v>1002</v>
      </c>
      <c r="B3" s="31" t="s">
        <v>48</v>
      </c>
      <c r="C3" s="31" t="s">
        <v>49</v>
      </c>
      <c r="D3" s="31" t="s">
        <v>50</v>
      </c>
      <c r="E3" s="30">
        <v>20</v>
      </c>
      <c r="F3" s="30">
        <v>10</v>
      </c>
      <c r="G3" s="32">
        <v>45297</v>
      </c>
      <c r="H3" s="11">
        <f>F3*G3</f>
        <v>452970</v>
      </c>
    </row>
    <row r="4" spans="1:15" ht="18" customHeight="1" x14ac:dyDescent="0.25">
      <c r="A4" s="30">
        <v>1003</v>
      </c>
      <c r="B4" s="31" t="s">
        <v>51</v>
      </c>
      <c r="C4" s="31" t="s">
        <v>52</v>
      </c>
      <c r="D4" s="31" t="s">
        <v>53</v>
      </c>
      <c r="E4" s="30">
        <v>15</v>
      </c>
      <c r="F4" s="30">
        <v>25</v>
      </c>
      <c r="G4" s="32">
        <v>45298</v>
      </c>
      <c r="H4" s="11">
        <f>F4*G4</f>
        <v>1132450</v>
      </c>
    </row>
    <row r="5" spans="1:15" ht="18" customHeight="1" x14ac:dyDescent="0.25">
      <c r="A5" s="30">
        <v>1004</v>
      </c>
      <c r="B5" s="31" t="s">
        <v>54</v>
      </c>
      <c r="C5" s="31" t="s">
        <v>55</v>
      </c>
      <c r="D5" s="31" t="s">
        <v>47</v>
      </c>
      <c r="E5" s="30">
        <v>5</v>
      </c>
      <c r="F5" s="30">
        <v>50</v>
      </c>
      <c r="G5" s="32">
        <v>45299</v>
      </c>
      <c r="H5" s="11">
        <f>F5*G5</f>
        <v>2264950</v>
      </c>
    </row>
    <row r="6" spans="1:15" ht="18" customHeight="1" x14ac:dyDescent="0.25">
      <c r="A6" s="30">
        <v>1005</v>
      </c>
      <c r="B6" s="31" t="s">
        <v>56</v>
      </c>
      <c r="C6" s="31" t="s">
        <v>46</v>
      </c>
      <c r="D6" s="31" t="s">
        <v>57</v>
      </c>
      <c r="E6" s="30">
        <v>30</v>
      </c>
      <c r="F6" s="30">
        <v>5</v>
      </c>
      <c r="G6" s="32">
        <v>45301</v>
      </c>
      <c r="H6" s="11">
        <f>F6*G6</f>
        <v>226505</v>
      </c>
    </row>
    <row r="7" spans="1:15" ht="18" customHeight="1" x14ac:dyDescent="0.25">
      <c r="A7" s="30">
        <v>1006</v>
      </c>
      <c r="B7" s="31" t="s">
        <v>58</v>
      </c>
      <c r="C7" s="31" t="s">
        <v>49</v>
      </c>
      <c r="D7" s="31" t="s">
        <v>47</v>
      </c>
      <c r="E7" s="30">
        <v>12</v>
      </c>
      <c r="F7" s="30">
        <v>50</v>
      </c>
      <c r="G7" s="32">
        <v>45302</v>
      </c>
      <c r="H7" s="11">
        <f>F7*G7</f>
        <v>2265100</v>
      </c>
    </row>
    <row r="8" spans="1:15" ht="18" customHeight="1" x14ac:dyDescent="0.25">
      <c r="A8" s="30">
        <v>1007</v>
      </c>
      <c r="B8" s="31" t="s">
        <v>59</v>
      </c>
      <c r="C8" s="31" t="s">
        <v>52</v>
      </c>
      <c r="D8" s="31" t="s">
        <v>60</v>
      </c>
      <c r="E8" s="30">
        <v>25</v>
      </c>
      <c r="F8" s="30">
        <v>8</v>
      </c>
      <c r="G8" s="32">
        <v>45304</v>
      </c>
      <c r="H8" s="11">
        <f>F8*G8</f>
        <v>362432</v>
      </c>
    </row>
    <row r="9" spans="1:15" ht="18" customHeight="1" x14ac:dyDescent="0.25">
      <c r="A9" s="30">
        <v>1008</v>
      </c>
      <c r="B9" s="31" t="s">
        <v>61</v>
      </c>
      <c r="C9" s="31" t="s">
        <v>55</v>
      </c>
      <c r="D9" s="31" t="s">
        <v>50</v>
      </c>
      <c r="E9" s="30">
        <v>18</v>
      </c>
      <c r="F9" s="30">
        <v>10</v>
      </c>
      <c r="G9" s="32">
        <v>45306</v>
      </c>
      <c r="H9" s="11">
        <f>F9*G9</f>
        <v>453060</v>
      </c>
    </row>
    <row r="10" spans="1:15" ht="18" customHeight="1" x14ac:dyDescent="0.25">
      <c r="A10" s="30">
        <v>1009</v>
      </c>
      <c r="B10" s="31" t="s">
        <v>62</v>
      </c>
      <c r="C10" s="31" t="s">
        <v>46</v>
      </c>
      <c r="D10" s="31" t="s">
        <v>53</v>
      </c>
      <c r="E10" s="30">
        <v>22</v>
      </c>
      <c r="F10" s="30">
        <v>25</v>
      </c>
      <c r="G10" s="32">
        <v>45308</v>
      </c>
      <c r="H10" s="11">
        <f>F10*G10</f>
        <v>1132700</v>
      </c>
    </row>
    <row r="11" spans="1:15" ht="18" customHeight="1" x14ac:dyDescent="0.25">
      <c r="A11" s="30">
        <v>1010</v>
      </c>
      <c r="B11" s="31" t="s">
        <v>63</v>
      </c>
      <c r="C11" s="31" t="s">
        <v>49</v>
      </c>
      <c r="D11" s="31" t="s">
        <v>47</v>
      </c>
      <c r="E11" s="30">
        <v>8</v>
      </c>
      <c r="F11" s="30">
        <v>50</v>
      </c>
      <c r="G11" s="32">
        <v>45309</v>
      </c>
      <c r="H11" s="11">
        <f>F11*G11</f>
        <v>2265450</v>
      </c>
    </row>
    <row r="12" spans="1:15" ht="18" customHeight="1" x14ac:dyDescent="0.25">
      <c r="A12" s="30">
        <v>1011</v>
      </c>
      <c r="B12" s="31" t="s">
        <v>64</v>
      </c>
      <c r="C12" s="31" t="s">
        <v>52</v>
      </c>
      <c r="D12" s="31" t="s">
        <v>57</v>
      </c>
      <c r="E12" s="30">
        <v>40</v>
      </c>
      <c r="F12" s="30">
        <v>5</v>
      </c>
      <c r="G12" s="32">
        <v>45310</v>
      </c>
      <c r="H12" s="11">
        <f>F12*G12</f>
        <v>226550</v>
      </c>
    </row>
    <row r="13" spans="1:15" ht="18" customHeight="1" x14ac:dyDescent="0.25">
      <c r="A13" s="30">
        <v>1012</v>
      </c>
      <c r="B13" s="31" t="s">
        <v>65</v>
      </c>
      <c r="C13" s="31" t="s">
        <v>55</v>
      </c>
      <c r="D13" s="31" t="s">
        <v>60</v>
      </c>
      <c r="E13" s="30">
        <v>35</v>
      </c>
      <c r="F13" s="30">
        <v>8</v>
      </c>
      <c r="G13" s="32">
        <v>45311</v>
      </c>
      <c r="H13" s="11">
        <f>F13*G13</f>
        <v>362488</v>
      </c>
    </row>
    <row r="14" spans="1:15" ht="18" customHeight="1" x14ac:dyDescent="0.25">
      <c r="A14" s="30">
        <v>1013</v>
      </c>
      <c r="B14" s="31" t="s">
        <v>66</v>
      </c>
      <c r="C14" s="31" t="s">
        <v>46</v>
      </c>
      <c r="D14" s="31" t="s">
        <v>47</v>
      </c>
      <c r="E14" s="30">
        <v>14</v>
      </c>
      <c r="F14" s="30">
        <v>50</v>
      </c>
      <c r="G14" s="32">
        <v>45313</v>
      </c>
      <c r="H14" s="11">
        <f>F14*G14</f>
        <v>2265650</v>
      </c>
    </row>
    <row r="15" spans="1:15" ht="18" customHeight="1" x14ac:dyDescent="0.25">
      <c r="A15" s="30">
        <v>1014</v>
      </c>
      <c r="B15" s="31" t="s">
        <v>67</v>
      </c>
      <c r="C15" s="31" t="s">
        <v>49</v>
      </c>
      <c r="D15" s="31" t="s">
        <v>50</v>
      </c>
      <c r="E15" s="30">
        <v>28</v>
      </c>
      <c r="F15" s="30">
        <v>10</v>
      </c>
      <c r="G15" s="32">
        <v>45314</v>
      </c>
      <c r="H15" s="11">
        <f>F15*G15</f>
        <v>453140</v>
      </c>
    </row>
    <row r="16" spans="1:15" ht="18" customHeight="1" x14ac:dyDescent="0.25">
      <c r="A16" s="30">
        <v>1015</v>
      </c>
      <c r="B16" s="31" t="s">
        <v>68</v>
      </c>
      <c r="C16" s="31" t="s">
        <v>52</v>
      </c>
      <c r="D16" s="31" t="s">
        <v>53</v>
      </c>
      <c r="E16" s="30">
        <v>12</v>
      </c>
      <c r="F16" s="30">
        <v>25</v>
      </c>
      <c r="G16" s="32">
        <v>45315</v>
      </c>
      <c r="H16" s="11">
        <f>F16*G16</f>
        <v>1132875</v>
      </c>
    </row>
    <row r="17" spans="1:8" ht="18" customHeight="1" x14ac:dyDescent="0.25">
      <c r="A17" s="30">
        <v>1016</v>
      </c>
      <c r="B17" s="31" t="s">
        <v>69</v>
      </c>
      <c r="C17" s="31" t="s">
        <v>55</v>
      </c>
      <c r="D17" s="31" t="s">
        <v>57</v>
      </c>
      <c r="E17" s="30">
        <v>25</v>
      </c>
      <c r="F17" s="30">
        <v>5</v>
      </c>
      <c r="G17" s="32">
        <v>45317</v>
      </c>
      <c r="H17" s="11">
        <f>F17*G17</f>
        <v>226585</v>
      </c>
    </row>
    <row r="18" spans="1:8" ht="18" customHeight="1" x14ac:dyDescent="0.25">
      <c r="A18" s="30">
        <v>1017</v>
      </c>
      <c r="B18" s="31" t="s">
        <v>70</v>
      </c>
      <c r="C18" s="31" t="s">
        <v>46</v>
      </c>
      <c r="D18" s="31" t="s">
        <v>60</v>
      </c>
      <c r="E18" s="30">
        <v>20</v>
      </c>
      <c r="F18" s="30">
        <v>8</v>
      </c>
      <c r="G18" s="32">
        <v>45319</v>
      </c>
      <c r="H18" s="11">
        <f>F18*G18</f>
        <v>362552</v>
      </c>
    </row>
    <row r="19" spans="1:8" ht="18" customHeight="1" x14ac:dyDescent="0.25">
      <c r="A19" s="30">
        <v>1018</v>
      </c>
      <c r="B19" s="31" t="s">
        <v>71</v>
      </c>
      <c r="C19" s="31" t="s">
        <v>49</v>
      </c>
      <c r="D19" s="31" t="s">
        <v>47</v>
      </c>
      <c r="E19" s="30">
        <v>10</v>
      </c>
      <c r="F19" s="30">
        <v>50</v>
      </c>
      <c r="G19" s="32">
        <v>45320</v>
      </c>
      <c r="H19" s="11">
        <f>F19*G19</f>
        <v>2266000</v>
      </c>
    </row>
    <row r="20" spans="1:8" ht="18" customHeight="1" x14ac:dyDescent="0.25">
      <c r="A20" s="30">
        <v>1019</v>
      </c>
      <c r="B20" s="31" t="s">
        <v>72</v>
      </c>
      <c r="C20" s="31" t="s">
        <v>52</v>
      </c>
      <c r="D20" s="31" t="s">
        <v>50</v>
      </c>
      <c r="E20" s="30">
        <v>15</v>
      </c>
      <c r="F20" s="30">
        <v>10</v>
      </c>
      <c r="G20" s="32">
        <v>45321</v>
      </c>
      <c r="H20" s="11">
        <f>F20*G20</f>
        <v>453210</v>
      </c>
    </row>
    <row r="21" spans="1:8" ht="18" customHeight="1" x14ac:dyDescent="0.25">
      <c r="A21" s="30">
        <v>1020</v>
      </c>
      <c r="B21" s="31" t="s">
        <v>73</v>
      </c>
      <c r="C21" s="31" t="s">
        <v>55</v>
      </c>
      <c r="D21" s="31" t="s">
        <v>53</v>
      </c>
      <c r="E21" s="30">
        <v>18</v>
      </c>
      <c r="F21" s="30">
        <v>25</v>
      </c>
      <c r="G21" s="32">
        <v>45323</v>
      </c>
      <c r="H21" s="11">
        <f>F21*G21</f>
        <v>1133075</v>
      </c>
    </row>
    <row r="22" spans="1:8" ht="18" customHeight="1" x14ac:dyDescent="0.25">
      <c r="A22" s="30">
        <v>1021</v>
      </c>
      <c r="B22" s="31" t="s">
        <v>74</v>
      </c>
      <c r="C22" s="31" t="s">
        <v>46</v>
      </c>
      <c r="D22" s="31" t="s">
        <v>47</v>
      </c>
      <c r="E22" s="30">
        <v>9</v>
      </c>
      <c r="F22" s="30">
        <v>50</v>
      </c>
      <c r="G22" s="32">
        <v>45324</v>
      </c>
      <c r="H22" s="11">
        <f>F22*G22</f>
        <v>2266200</v>
      </c>
    </row>
    <row r="23" spans="1:8" ht="18" customHeight="1" x14ac:dyDescent="0.25">
      <c r="A23" s="30">
        <v>1022</v>
      </c>
      <c r="B23" s="31" t="s">
        <v>75</v>
      </c>
      <c r="C23" s="31" t="s">
        <v>49</v>
      </c>
      <c r="D23" s="31" t="s">
        <v>57</v>
      </c>
      <c r="E23" s="30">
        <v>35</v>
      </c>
      <c r="F23" s="30">
        <v>5</v>
      </c>
      <c r="G23" s="32">
        <v>45325</v>
      </c>
      <c r="H23" s="11">
        <f>F23*G23</f>
        <v>226625</v>
      </c>
    </row>
    <row r="24" spans="1:8" ht="18" customHeight="1" x14ac:dyDescent="0.25">
      <c r="A24" s="30">
        <v>1023</v>
      </c>
      <c r="B24" s="31" t="s">
        <v>76</v>
      </c>
      <c r="C24" s="31" t="s">
        <v>52</v>
      </c>
      <c r="D24" s="31" t="s">
        <v>60</v>
      </c>
      <c r="E24" s="30">
        <v>30</v>
      </c>
      <c r="F24" s="30">
        <v>8</v>
      </c>
      <c r="G24" s="32">
        <v>45326</v>
      </c>
      <c r="H24" s="11">
        <f>F24*G24</f>
        <v>362608</v>
      </c>
    </row>
    <row r="25" spans="1:8" ht="18" customHeight="1" x14ac:dyDescent="0.25">
      <c r="A25" s="30">
        <v>1024</v>
      </c>
      <c r="B25" s="31" t="s">
        <v>77</v>
      </c>
      <c r="C25" s="31" t="s">
        <v>55</v>
      </c>
      <c r="D25" s="31" t="s">
        <v>47</v>
      </c>
      <c r="E25" s="30">
        <v>11</v>
      </c>
      <c r="F25" s="30">
        <v>50</v>
      </c>
      <c r="G25" s="32">
        <v>45328</v>
      </c>
      <c r="H25" s="11">
        <f>F25*G25</f>
        <v>2266400</v>
      </c>
    </row>
    <row r="26" spans="1:8" ht="18" customHeight="1" x14ac:dyDescent="0.25">
      <c r="A26" s="30">
        <v>1025</v>
      </c>
      <c r="B26" s="31" t="s">
        <v>78</v>
      </c>
      <c r="C26" s="31" t="s">
        <v>46</v>
      </c>
      <c r="D26" s="31" t="s">
        <v>50</v>
      </c>
      <c r="E26" s="30">
        <v>14</v>
      </c>
      <c r="F26" s="30">
        <v>10</v>
      </c>
      <c r="G26" s="32">
        <v>45329</v>
      </c>
      <c r="H26" s="11">
        <f>F26*G26</f>
        <v>453290</v>
      </c>
    </row>
    <row r="27" spans="1:8" ht="18" customHeight="1" x14ac:dyDescent="0.25">
      <c r="A27" s="30">
        <v>1026</v>
      </c>
      <c r="B27" s="31" t="s">
        <v>79</v>
      </c>
      <c r="C27" s="31" t="s">
        <v>49</v>
      </c>
      <c r="D27" s="31" t="s">
        <v>53</v>
      </c>
      <c r="E27" s="30">
        <v>16</v>
      </c>
      <c r="F27" s="30">
        <v>25</v>
      </c>
      <c r="G27" s="32">
        <v>45330</v>
      </c>
      <c r="H27" s="11">
        <f>F27*G27</f>
        <v>1133250</v>
      </c>
    </row>
    <row r="28" spans="1:8" ht="18" customHeight="1" x14ac:dyDescent="0.25">
      <c r="A28" s="30">
        <v>1027</v>
      </c>
      <c r="B28" s="31" t="s">
        <v>80</v>
      </c>
      <c r="C28" s="31" t="s">
        <v>52</v>
      </c>
      <c r="D28" s="31" t="s">
        <v>57</v>
      </c>
      <c r="E28" s="30">
        <v>22</v>
      </c>
      <c r="F28" s="30">
        <v>5</v>
      </c>
      <c r="G28" s="32">
        <v>45331</v>
      </c>
      <c r="H28" s="11">
        <f>F28*G28</f>
        <v>226655</v>
      </c>
    </row>
    <row r="29" spans="1:8" ht="18" customHeight="1" x14ac:dyDescent="0.25">
      <c r="A29" s="30">
        <v>1028</v>
      </c>
      <c r="B29" s="31" t="s">
        <v>81</v>
      </c>
      <c r="C29" s="31" t="s">
        <v>55</v>
      </c>
      <c r="D29" s="31" t="s">
        <v>60</v>
      </c>
      <c r="E29" s="30">
        <v>27</v>
      </c>
      <c r="F29" s="30">
        <v>8</v>
      </c>
      <c r="G29" s="32">
        <v>45332</v>
      </c>
      <c r="H29" s="11">
        <f>F29*G29</f>
        <v>362656</v>
      </c>
    </row>
    <row r="30" spans="1:8" ht="18" customHeight="1" x14ac:dyDescent="0.25">
      <c r="A30" s="30">
        <v>1029</v>
      </c>
      <c r="B30" s="31" t="s">
        <v>82</v>
      </c>
      <c r="C30" s="31" t="s">
        <v>46</v>
      </c>
      <c r="D30" s="31" t="s">
        <v>47</v>
      </c>
      <c r="E30" s="30">
        <v>13</v>
      </c>
      <c r="F30" s="30">
        <v>50</v>
      </c>
      <c r="G30" s="32">
        <v>45334</v>
      </c>
      <c r="H30" s="11">
        <f>F30*G30</f>
        <v>2266700</v>
      </c>
    </row>
    <row r="31" spans="1:8" ht="18" customHeight="1" x14ac:dyDescent="0.25">
      <c r="A31" s="30">
        <v>1030</v>
      </c>
      <c r="B31" s="31" t="s">
        <v>83</v>
      </c>
      <c r="C31" s="31" t="s">
        <v>49</v>
      </c>
      <c r="D31" s="31" t="s">
        <v>50</v>
      </c>
      <c r="E31" s="30">
        <v>32</v>
      </c>
      <c r="F31" s="30">
        <v>10</v>
      </c>
      <c r="G31" s="32">
        <v>45335</v>
      </c>
      <c r="H31" s="11">
        <f>F31*G31</f>
        <v>453350</v>
      </c>
    </row>
    <row r="32" spans="1:8" ht="18" customHeight="1" x14ac:dyDescent="0.25">
      <c r="A32" s="30">
        <v>1031</v>
      </c>
      <c r="B32" s="31" t="s">
        <v>84</v>
      </c>
      <c r="C32" s="31" t="s">
        <v>52</v>
      </c>
      <c r="D32" s="31" t="s">
        <v>53</v>
      </c>
      <c r="E32" s="30">
        <v>10</v>
      </c>
      <c r="F32" s="30">
        <v>25</v>
      </c>
      <c r="G32" s="32">
        <v>45336</v>
      </c>
      <c r="H32" s="11">
        <f>F32*G32</f>
        <v>1133400</v>
      </c>
    </row>
    <row r="33" spans="1:8" ht="18" customHeight="1" x14ac:dyDescent="0.25">
      <c r="A33" s="30">
        <v>1032</v>
      </c>
      <c r="B33" s="31" t="s">
        <v>85</v>
      </c>
      <c r="C33" s="31" t="s">
        <v>55</v>
      </c>
      <c r="D33" s="31" t="s">
        <v>57</v>
      </c>
      <c r="E33" s="30">
        <v>18</v>
      </c>
      <c r="F33" s="30">
        <v>5</v>
      </c>
      <c r="G33" s="32">
        <v>45338</v>
      </c>
      <c r="H33" s="11">
        <f>F33*G33</f>
        <v>226690</v>
      </c>
    </row>
    <row r="34" spans="1:8" ht="18" customHeight="1" x14ac:dyDescent="0.25">
      <c r="A34" s="30">
        <v>1033</v>
      </c>
      <c r="B34" s="31" t="s">
        <v>86</v>
      </c>
      <c r="C34" s="31" t="s">
        <v>46</v>
      </c>
      <c r="D34" s="31" t="s">
        <v>60</v>
      </c>
      <c r="E34" s="30">
        <v>22</v>
      </c>
      <c r="F34" s="30">
        <v>8</v>
      </c>
      <c r="G34" s="32">
        <v>45339</v>
      </c>
      <c r="H34" s="11">
        <f>F34*G34</f>
        <v>362712</v>
      </c>
    </row>
    <row r="35" spans="1:8" ht="18" customHeight="1" x14ac:dyDescent="0.25">
      <c r="A35" s="30">
        <v>1034</v>
      </c>
      <c r="B35" s="31" t="s">
        <v>87</v>
      </c>
      <c r="C35" s="31" t="s">
        <v>49</v>
      </c>
      <c r="D35" s="31" t="s">
        <v>47</v>
      </c>
      <c r="E35" s="30">
        <v>17</v>
      </c>
      <c r="F35" s="30">
        <v>50</v>
      </c>
      <c r="G35" s="32">
        <v>45340</v>
      </c>
      <c r="H35" s="11">
        <f>F35*G35</f>
        <v>2267000</v>
      </c>
    </row>
    <row r="36" spans="1:8" ht="18" customHeight="1" x14ac:dyDescent="0.25">
      <c r="A36" s="30">
        <v>1035</v>
      </c>
      <c r="B36" s="31" t="s">
        <v>88</v>
      </c>
      <c r="C36" s="31" t="s">
        <v>52</v>
      </c>
      <c r="D36" s="31" t="s">
        <v>50</v>
      </c>
      <c r="E36" s="30">
        <v>19</v>
      </c>
      <c r="F36" s="30">
        <v>10</v>
      </c>
      <c r="G36" s="32">
        <v>45341</v>
      </c>
      <c r="H36" s="11">
        <f>F36*G36</f>
        <v>453410</v>
      </c>
    </row>
    <row r="37" spans="1:8" ht="18" customHeight="1" x14ac:dyDescent="0.25">
      <c r="A37" s="30">
        <v>1036</v>
      </c>
      <c r="B37" s="31" t="s">
        <v>89</v>
      </c>
      <c r="C37" s="31" t="s">
        <v>55</v>
      </c>
      <c r="D37" s="31" t="s">
        <v>53</v>
      </c>
      <c r="E37" s="30">
        <v>15</v>
      </c>
      <c r="F37" s="30">
        <v>25</v>
      </c>
      <c r="G37" s="32">
        <v>45343</v>
      </c>
      <c r="H37" s="11">
        <f>F37*G37</f>
        <v>1133575</v>
      </c>
    </row>
    <row r="38" spans="1:8" ht="18" customHeight="1" x14ac:dyDescent="0.25">
      <c r="A38" s="30">
        <v>1037</v>
      </c>
      <c r="B38" s="31" t="s">
        <v>90</v>
      </c>
      <c r="C38" s="31" t="s">
        <v>46</v>
      </c>
      <c r="D38" s="31" t="s">
        <v>57</v>
      </c>
      <c r="E38" s="30">
        <v>28</v>
      </c>
      <c r="F38" s="30">
        <v>5</v>
      </c>
      <c r="G38" s="32">
        <v>45344</v>
      </c>
      <c r="H38" s="11">
        <f>F38*G38</f>
        <v>226720</v>
      </c>
    </row>
    <row r="39" spans="1:8" ht="18" customHeight="1" x14ac:dyDescent="0.25">
      <c r="A39" s="30">
        <v>1038</v>
      </c>
      <c r="B39" s="31" t="s">
        <v>91</v>
      </c>
      <c r="C39" s="31" t="s">
        <v>49</v>
      </c>
      <c r="D39" s="31" t="s">
        <v>60</v>
      </c>
      <c r="E39" s="30">
        <v>24</v>
      </c>
      <c r="F39" s="30">
        <v>8</v>
      </c>
      <c r="G39" s="32">
        <v>45345</v>
      </c>
      <c r="H39" s="11">
        <f>F39*G39</f>
        <v>362760</v>
      </c>
    </row>
    <row r="40" spans="1:8" ht="18" customHeight="1" x14ac:dyDescent="0.25">
      <c r="A40" s="30">
        <v>1039</v>
      </c>
      <c r="B40" s="31" t="s">
        <v>92</v>
      </c>
      <c r="C40" s="31" t="s">
        <v>52</v>
      </c>
      <c r="D40" s="31" t="s">
        <v>47</v>
      </c>
      <c r="E40" s="30">
        <v>16</v>
      </c>
      <c r="F40" s="30">
        <v>50</v>
      </c>
      <c r="G40" s="32">
        <v>45347</v>
      </c>
      <c r="H40" s="11">
        <f>F40*G40</f>
        <v>2267350</v>
      </c>
    </row>
    <row r="41" spans="1:8" ht="18" customHeight="1" x14ac:dyDescent="0.25">
      <c r="A41" s="30">
        <v>1040</v>
      </c>
      <c r="B41" s="31" t="s">
        <v>93</v>
      </c>
      <c r="C41" s="31" t="s">
        <v>55</v>
      </c>
      <c r="D41" s="31" t="s">
        <v>50</v>
      </c>
      <c r="E41" s="30">
        <v>27</v>
      </c>
      <c r="F41" s="30">
        <v>10</v>
      </c>
      <c r="G41" s="32">
        <v>45348</v>
      </c>
      <c r="H41" s="11">
        <f>F41*G41</f>
        <v>453480</v>
      </c>
    </row>
    <row r="42" spans="1:8" ht="18" customHeight="1" x14ac:dyDescent="0.25">
      <c r="A42" s="30">
        <v>1041</v>
      </c>
      <c r="B42" s="31" t="s">
        <v>94</v>
      </c>
      <c r="C42" s="31" t="s">
        <v>46</v>
      </c>
      <c r="D42" s="31" t="s">
        <v>53</v>
      </c>
      <c r="E42" s="30">
        <v>21</v>
      </c>
      <c r="F42" s="30">
        <v>25</v>
      </c>
      <c r="G42" s="32">
        <v>45349</v>
      </c>
      <c r="H42" s="11">
        <f>F42*G42</f>
        <v>1133725</v>
      </c>
    </row>
    <row r="43" spans="1:8" ht="18" customHeight="1" x14ac:dyDescent="0.25">
      <c r="A43" s="30">
        <v>1042</v>
      </c>
      <c r="B43" s="31" t="s">
        <v>95</v>
      </c>
      <c r="C43" s="31" t="s">
        <v>49</v>
      </c>
      <c r="D43" s="31" t="s">
        <v>57</v>
      </c>
      <c r="E43" s="30">
        <v>30</v>
      </c>
      <c r="F43" s="30">
        <v>5</v>
      </c>
      <c r="G43" s="32">
        <v>45350</v>
      </c>
      <c r="H43" s="11">
        <f>F43*G43</f>
        <v>226750</v>
      </c>
    </row>
    <row r="44" spans="1:8" ht="18" customHeight="1" x14ac:dyDescent="0.25">
      <c r="A44" s="30">
        <v>1043</v>
      </c>
      <c r="B44" s="31" t="s">
        <v>96</v>
      </c>
      <c r="C44" s="31" t="s">
        <v>52</v>
      </c>
      <c r="D44" s="31" t="s">
        <v>60</v>
      </c>
      <c r="E44" s="30">
        <v>26</v>
      </c>
      <c r="F44" s="30">
        <v>8</v>
      </c>
      <c r="G44" s="32">
        <v>45352</v>
      </c>
      <c r="H44" s="11">
        <f>F44*G44</f>
        <v>362816</v>
      </c>
    </row>
    <row r="45" spans="1:8" ht="18" customHeight="1" x14ac:dyDescent="0.25">
      <c r="A45" s="30">
        <v>1044</v>
      </c>
      <c r="B45" s="31" t="s">
        <v>97</v>
      </c>
      <c r="C45" s="31" t="s">
        <v>55</v>
      </c>
      <c r="D45" s="31" t="s">
        <v>47</v>
      </c>
      <c r="E45" s="30">
        <v>14</v>
      </c>
      <c r="F45" s="30">
        <v>50</v>
      </c>
      <c r="G45" s="32">
        <v>45353</v>
      </c>
      <c r="H45" s="11">
        <f>F45*G45</f>
        <v>2267650</v>
      </c>
    </row>
    <row r="46" spans="1:8" ht="18" customHeight="1" x14ac:dyDescent="0.25">
      <c r="A46" s="30">
        <v>1045</v>
      </c>
      <c r="B46" s="31" t="s">
        <v>98</v>
      </c>
      <c r="C46" s="31" t="s">
        <v>46</v>
      </c>
      <c r="D46" s="31" t="s">
        <v>50</v>
      </c>
      <c r="E46" s="30">
        <v>20</v>
      </c>
      <c r="F46" s="30">
        <v>10</v>
      </c>
      <c r="G46" s="32">
        <v>45354</v>
      </c>
      <c r="H46" s="11">
        <f>F46*G46</f>
        <v>453540</v>
      </c>
    </row>
    <row r="47" spans="1:8" ht="18" customHeight="1" x14ac:dyDescent="0.25">
      <c r="A47" s="30">
        <v>1046</v>
      </c>
      <c r="B47" s="31" t="s">
        <v>99</v>
      </c>
      <c r="C47" s="31" t="s">
        <v>49</v>
      </c>
      <c r="D47" s="31" t="s">
        <v>53</v>
      </c>
      <c r="E47" s="30">
        <v>17</v>
      </c>
      <c r="F47" s="30">
        <v>25</v>
      </c>
      <c r="G47" s="32">
        <v>45355</v>
      </c>
      <c r="H47" s="11">
        <f>F47*G47</f>
        <v>1133875</v>
      </c>
    </row>
    <row r="48" spans="1:8" ht="18" customHeight="1" x14ac:dyDescent="0.25">
      <c r="A48" s="30">
        <v>1047</v>
      </c>
      <c r="B48" s="31" t="s">
        <v>100</v>
      </c>
      <c r="C48" s="31" t="s">
        <v>52</v>
      </c>
      <c r="D48" s="31" t="s">
        <v>57</v>
      </c>
      <c r="E48" s="30">
        <v>19</v>
      </c>
      <c r="F48" s="30">
        <v>5</v>
      </c>
      <c r="G48" s="32">
        <v>45356</v>
      </c>
      <c r="H48" s="11">
        <f>F48*G48</f>
        <v>226780</v>
      </c>
    </row>
    <row r="49" spans="1:8" ht="18" customHeight="1" x14ac:dyDescent="0.25">
      <c r="A49" s="30">
        <v>1048</v>
      </c>
      <c r="B49" s="31" t="s">
        <v>101</v>
      </c>
      <c r="C49" s="31" t="s">
        <v>55</v>
      </c>
      <c r="D49" s="31" t="s">
        <v>60</v>
      </c>
      <c r="E49" s="30">
        <v>32</v>
      </c>
      <c r="F49" s="30">
        <v>8</v>
      </c>
      <c r="G49" s="32">
        <v>45357</v>
      </c>
      <c r="H49" s="11">
        <f>F49*G49</f>
        <v>362856</v>
      </c>
    </row>
    <row r="50" spans="1:8" ht="18" customHeight="1" x14ac:dyDescent="0.25">
      <c r="A50" s="30">
        <v>1049</v>
      </c>
      <c r="B50" s="31" t="s">
        <v>102</v>
      </c>
      <c r="C50" s="31" t="s">
        <v>46</v>
      </c>
      <c r="D50" s="31" t="s">
        <v>47</v>
      </c>
      <c r="E50" s="30">
        <v>12</v>
      </c>
      <c r="F50" s="30">
        <v>50</v>
      </c>
      <c r="G50" s="32">
        <v>45358</v>
      </c>
      <c r="H50" s="11">
        <f>F50*G50</f>
        <v>2267900</v>
      </c>
    </row>
    <row r="51" spans="1:8" ht="18" customHeight="1" x14ac:dyDescent="0.25">
      <c r="A51" s="30">
        <v>1050</v>
      </c>
      <c r="B51" s="31" t="s">
        <v>103</v>
      </c>
      <c r="C51" s="31" t="s">
        <v>49</v>
      </c>
      <c r="D51" s="31" t="s">
        <v>50</v>
      </c>
      <c r="E51" s="30">
        <v>25</v>
      </c>
      <c r="F51" s="30">
        <v>10</v>
      </c>
      <c r="G51" s="32">
        <v>45359</v>
      </c>
      <c r="H51" s="11">
        <f>F51*G51</f>
        <v>453590</v>
      </c>
    </row>
  </sheetData>
  <mergeCells count="1">
    <mergeCell ref="J1:O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Q.No.1</vt:lpstr>
      <vt:lpstr>Q.No.2</vt:lpstr>
      <vt:lpstr>Q.No.3</vt:lpstr>
      <vt:lpstr>Q,No.4</vt:lpstr>
      <vt:lpstr>Q.No.5</vt:lpstr>
      <vt:lpstr>Q.No.6</vt:lpstr>
      <vt:lpstr>Q.No.7</vt:lpstr>
      <vt:lpstr>Q.no.8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Muzammil Ansari</dc:creator>
  <cp:lastModifiedBy>Muzammil Ansari</cp:lastModifiedBy>
  <dcterms:created xsi:type="dcterms:W3CDTF">2025-12-14T23:05:59Z</dcterms:created>
  <dcterms:modified xsi:type="dcterms:W3CDTF">2025-12-15T08:53:32Z</dcterms:modified>
</cp:coreProperties>
</file>